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使い方" sheetId="1" state="visible" r:id="rId3"/>
    <sheet name="スナップ一覧" sheetId="2" state="visible" r:id="rId4"/>
    <sheet name="タグ一覧" sheetId="3" state="visible" r:id="rId5"/>
  </sheets>
  <definedNames>
    <definedName function="false" hidden="true" localSheetId="1" name="_xlnm._FilterDatabase" vbProcedure="false">スナップ一覧!$A$1:$L$502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ID</t>
        </r>
        <r>
          <rPr>
            <sz val="10"/>
            <rFont val="Noto Sans CJK SC"/>
            <family val="2"/>
          </rPr>
          <t xml:space="preserve">の先頭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Noto Sans CJK SC"/>
            <family val="2"/>
          </rPr>
          <t xml:space="preserve">桁から自動計算されます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入力不要</t>
        </r>
        <r>
          <rPr>
            <sz val="10"/>
            <rFont val="Arial"/>
            <family val="2"/>
          </rPr>
          <t xml:space="preserve">)</t>
        </r>
      </text>
    </comment>
    <comment ref="D1" authorId="0">
      <text>
        <r>
          <rPr>
            <sz val="10"/>
            <rFont val="Noto Sans CJK SC"/>
            <family val="2"/>
          </rPr>
          <t xml:space="preserve">画像の</t>
        </r>
        <r>
          <rPr>
            <sz val="10"/>
            <rFont val="Arial"/>
            <family val="2"/>
          </rPr>
          <t xml:space="preserve">URL</t>
        </r>
        <r>
          <rPr>
            <sz val="10"/>
            <rFont val="Noto Sans CJK SC"/>
            <family val="2"/>
          </rPr>
          <t xml:space="preserve">またはパス。実際の公開パスに合わせて入力してください</t>
        </r>
      </text>
    </comment>
    <comment ref="K1" authorId="0">
      <text>
        <r>
          <rPr>
            <sz val="10"/>
            <rFont val="Noto Sans CJK SC"/>
            <family val="2"/>
          </rPr>
          <t xml:space="preserve">タグ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〜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をカンマ区切りで結合します</t>
        </r>
        <r>
          <rPr>
            <sz val="10"/>
            <rFont val="Arial"/>
            <family val="2"/>
          </rPr>
          <t xml:space="preserve">(JSON/CSV</t>
        </r>
        <r>
          <rPr>
            <sz val="10"/>
            <rFont val="Noto Sans CJK SC"/>
            <family val="2"/>
          </rPr>
          <t xml:space="preserve">書き出し用・入力不要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<sst xmlns="http://schemas.openxmlformats.org/spreadsheetml/2006/main" count="2182" uniqueCount="1155">
  <si>
    <t xml:space="preserve">使い方</t>
  </si>
  <si>
    <t xml:space="preserve">入力する列</t>
  </si>
  <si>
    <t xml:space="preserve">ピンク色の見出しの列(ID・名前・画像URL・SNS・タグ・一押し度・メモ)</t>
  </si>
  <si>
    <t xml:space="preserve">自動の列</t>
  </si>
  <si>
    <t xml:space="preserve">灰色の見出しの列(掲載日・タグ(結合))は数式なので入力不要</t>
  </si>
  <si>
    <t xml:space="preserve">ID</t>
  </si>
  <si>
    <t xml:space="preserve">例:2026093001(日付8桁+連番2桁)。文字列として入力されます</t>
  </si>
  <si>
    <t xml:space="preserve">タグ1〜3</t>
  </si>
  <si>
    <t xml:space="preserve">プルダウンから選択。1枚につき1〜3個が目安。種類は「タグ一覧」シートで編集</t>
  </si>
  <si>
    <t xml:space="preserve">一押し度</t>
  </si>
  <si>
    <r>
      <rPr>
        <sz val="10"/>
        <rFont val="Meiryo"/>
        <family val="3"/>
        <charset val="128"/>
      </rPr>
      <t xml:space="preserve">1</t>
    </r>
    <r>
      <rPr>
        <sz val="10"/>
        <rFont val="Noto Sans CJK SC"/>
        <family val="2"/>
      </rPr>
      <t xml:space="preserve">〜</t>
    </r>
    <r>
      <rPr>
        <sz val="10"/>
        <rFont val="Meiryo"/>
        <family val="3"/>
        <charset val="128"/>
      </rPr>
      <t xml:space="preserve">5</t>
    </r>
    <r>
      <rPr>
        <sz val="10"/>
        <rFont val="Noto Sans CJK SC"/>
        <family val="2"/>
      </rPr>
      <t xml:space="preserve">の整数</t>
    </r>
    <r>
      <rPr>
        <sz val="10"/>
        <rFont val="Meiryo"/>
        <family val="3"/>
        <charset val="128"/>
      </rPr>
      <t xml:space="preserve">(</t>
    </r>
    <r>
      <rPr>
        <sz val="10"/>
        <rFont val="Noto Sans CJK SC"/>
        <family val="2"/>
      </rPr>
      <t xml:space="preserve">任意</t>
    </r>
    <r>
      <rPr>
        <sz val="10"/>
        <rFont val="Meiryo"/>
        <family val="3"/>
        <charset val="128"/>
      </rPr>
      <t xml:space="preserve">)</t>
    </r>
    <r>
      <rPr>
        <sz val="10"/>
        <rFont val="Noto Sans CJK SC"/>
        <family val="2"/>
      </rPr>
      <t xml:space="preserve">。並び替え用のスコアとして使えます</t>
    </r>
  </si>
  <si>
    <t xml:space="preserve">画像URL</t>
  </si>
  <si>
    <t xml:space="preserve">今は空欄です。実際の公開パスに合わせて入力してください</t>
  </si>
  <si>
    <t xml:space="preserve">入力例</t>
  </si>
  <si>
    <r>
      <rPr>
        <sz val="10"/>
        <rFont val="Meiryo"/>
        <family val="3"/>
        <charset val="128"/>
      </rPr>
      <t xml:space="preserve">ID: 2026093001 / </t>
    </r>
    <r>
      <rPr>
        <sz val="10"/>
        <rFont val="Noto Sans CJK SC"/>
        <family val="2"/>
      </rPr>
      <t xml:space="preserve">名前</t>
    </r>
    <r>
      <rPr>
        <sz val="10"/>
        <rFont val="Meiryo"/>
        <family val="3"/>
        <charset val="128"/>
      </rPr>
      <t xml:space="preserve">: </t>
    </r>
    <r>
      <rPr>
        <sz val="10"/>
        <rFont val="Noto Sans CJK SC"/>
        <family val="2"/>
      </rPr>
      <t xml:space="preserve">めぐみ </t>
    </r>
    <r>
      <rPr>
        <sz val="10"/>
        <rFont val="Meiryo"/>
        <family val="3"/>
        <charset val="128"/>
      </rPr>
      <t xml:space="preserve">/ </t>
    </r>
    <r>
      <rPr>
        <sz val="10"/>
        <rFont val="Noto Sans CJK SC"/>
        <family val="2"/>
      </rPr>
      <t xml:space="preserve">タグ</t>
    </r>
    <r>
      <rPr>
        <sz val="10"/>
        <rFont val="Meiryo"/>
        <family val="3"/>
        <charset val="128"/>
      </rPr>
      <t xml:space="preserve">1: </t>
    </r>
    <r>
      <rPr>
        <sz val="10"/>
        <rFont val="Noto Sans CJK SC"/>
        <family val="2"/>
      </rPr>
      <t xml:space="preserve">かわいい </t>
    </r>
    <r>
      <rPr>
        <sz val="10"/>
        <rFont val="Meiryo"/>
        <family val="3"/>
        <charset val="128"/>
      </rPr>
      <t xml:space="preserve">/ </t>
    </r>
    <r>
      <rPr>
        <sz val="10"/>
        <rFont val="Noto Sans CJK SC"/>
        <family val="2"/>
      </rPr>
      <t xml:space="preserve">タグ</t>
    </r>
    <r>
      <rPr>
        <sz val="10"/>
        <rFont val="Meiryo"/>
        <family val="3"/>
        <charset val="128"/>
      </rPr>
      <t xml:space="preserve">2: </t>
    </r>
    <r>
      <rPr>
        <sz val="10"/>
        <rFont val="Noto Sans CJK SC"/>
        <family val="2"/>
      </rPr>
      <t xml:space="preserve">ふんわり </t>
    </r>
    <r>
      <rPr>
        <sz val="10"/>
        <rFont val="Meiryo"/>
        <family val="3"/>
        <charset val="128"/>
      </rPr>
      <t xml:space="preserve">/ </t>
    </r>
    <r>
      <rPr>
        <sz val="10"/>
        <rFont val="Noto Sans CJK SC"/>
        <family val="2"/>
      </rPr>
      <t xml:space="preserve">一押し度</t>
    </r>
    <r>
      <rPr>
        <sz val="10"/>
        <rFont val="Meiryo"/>
        <family val="3"/>
        <charset val="128"/>
      </rPr>
      <t xml:space="preserve">: 4</t>
    </r>
  </si>
  <si>
    <t xml:space="preserve">収録データ</t>
  </si>
  <si>
    <t xml:space="preserve">最新20件のID・名前・SNSリンクを、スナップ写真館ページ(cate0008)から転記済み</t>
  </si>
  <si>
    <t xml:space="preserve">行数</t>
  </si>
  <si>
    <r>
      <rPr>
        <sz val="10"/>
        <rFont val="Meiryo"/>
        <family val="3"/>
        <charset val="128"/>
      </rPr>
      <t xml:space="preserve">301</t>
    </r>
    <r>
      <rPr>
        <sz val="10"/>
        <rFont val="Noto Sans CJK SC"/>
        <family val="2"/>
      </rPr>
      <t xml:space="preserve">行目まで数式・入力規則が入っています</t>
    </r>
    <r>
      <rPr>
        <sz val="10"/>
        <rFont val="Meiryo"/>
        <family val="3"/>
        <charset val="128"/>
      </rPr>
      <t xml:space="preserve">(</t>
    </r>
    <r>
      <rPr>
        <sz val="10"/>
        <rFont val="Noto Sans CJK SC"/>
        <family val="2"/>
      </rPr>
      <t xml:space="preserve">約</t>
    </r>
    <r>
      <rPr>
        <sz val="10"/>
        <rFont val="Meiryo"/>
        <family val="3"/>
        <charset val="128"/>
      </rPr>
      <t xml:space="preserve">300</t>
    </r>
    <r>
      <rPr>
        <sz val="10"/>
        <rFont val="Noto Sans CJK SC"/>
        <family val="2"/>
      </rPr>
      <t xml:space="preserve">件分</t>
    </r>
    <r>
      <rPr>
        <sz val="10"/>
        <rFont val="Meiryo"/>
        <family val="3"/>
        <charset val="128"/>
      </rPr>
      <t xml:space="preserve">)</t>
    </r>
  </si>
  <si>
    <t xml:space="preserve">名前</t>
  </si>
  <si>
    <t xml:space="preserve">掲載日</t>
  </si>
  <si>
    <t xml:space="preserve">Twitter(X)</t>
  </si>
  <si>
    <t xml:space="preserve">Instagram</t>
  </si>
  <si>
    <t xml:space="preserve">タグ1</t>
  </si>
  <si>
    <t xml:space="preserve">タグ2</t>
  </si>
  <si>
    <t xml:space="preserve">タグ3</t>
  </si>
  <si>
    <t xml:space="preserve">タグ4</t>
  </si>
  <si>
    <t xml:space="preserve">タグ(結合)</t>
  </si>
  <si>
    <t xml:space="preserve">メモ</t>
  </si>
  <si>
    <t xml:space="preserve">2026093002</t>
  </si>
  <si>
    <t xml:space="preserve">さとちゃん</t>
  </si>
  <si>
    <t xml:space="preserve">https://www.tokyo-crossdress.com/WBlog/2026093002-600.jpg</t>
  </si>
  <si>
    <t xml:space="preserve">https://x.com/FTMM_S4tocha</t>
  </si>
  <si>
    <t xml:space="preserve">清楚</t>
  </si>
  <si>
    <t xml:space="preserve">フェミニン</t>
  </si>
  <si>
    <t xml:space="preserve">ガーリー</t>
  </si>
  <si>
    <t xml:space="preserve">レトロ</t>
  </si>
  <si>
    <t xml:space="preserve">2026093001</t>
  </si>
  <si>
    <t xml:space="preserve">めぐみ</t>
  </si>
  <si>
    <t xml:space="preserve">https://www.tokyo-crossdress.com/WBlog/2026093001-600.jpg</t>
  </si>
  <si>
    <t xml:space="preserve">https://x.com/megmeg6321</t>
  </si>
  <si>
    <t xml:space="preserve">かわいい</t>
  </si>
  <si>
    <t xml:space="preserve">2026092102</t>
  </si>
  <si>
    <t xml:space="preserve">恋(れん)</t>
  </si>
  <si>
    <t xml:space="preserve">https://www.tokyo-crossdress.com/WBlog/2026092102-600.jpg</t>
  </si>
  <si>
    <t xml:space="preserve">https://x.com/10renren28</t>
  </si>
  <si>
    <t xml:space="preserve">きれいめ</t>
  </si>
  <si>
    <t xml:space="preserve">大人っぽい</t>
  </si>
  <si>
    <t xml:space="preserve">2026092101</t>
  </si>
  <si>
    <t xml:space="preserve">れあちゃん</t>
  </si>
  <si>
    <t xml:space="preserve">https://www.tokyo-crossdress.com/WBlog/2026092101-600.jpg</t>
  </si>
  <si>
    <t xml:space="preserve">https://x.com/reareasubsub</t>
  </si>
  <si>
    <t xml:space="preserve">カジュアル</t>
  </si>
  <si>
    <t xml:space="preserve">クール</t>
  </si>
  <si>
    <t xml:space="preserve">サブカル</t>
  </si>
  <si>
    <t xml:space="preserve">2026091704</t>
  </si>
  <si>
    <t xml:space="preserve">ゆうな</t>
  </si>
  <si>
    <t xml:space="preserve">https://www.tokyo-crossdress.com/WBlog/2026091704-600.jpg</t>
  </si>
  <si>
    <t xml:space="preserve">https://x.com/yuuna_smile215</t>
  </si>
  <si>
    <t xml:space="preserve">2026091703</t>
  </si>
  <si>
    <t xml:space="preserve">ここあ</t>
  </si>
  <si>
    <t xml:space="preserve">https://www.tokyo-crossdress.com/WBlog/2026091703-600.jpg</t>
  </si>
  <si>
    <t xml:space="preserve">https://x.com/cocoa_5545</t>
  </si>
  <si>
    <t xml:space="preserve">2026091702</t>
  </si>
  <si>
    <t xml:space="preserve">いおーーーーー猫</t>
  </si>
  <si>
    <t xml:space="preserve">https://www.tokyo-crossdress.com/WBlog/2026091702-600.jpg</t>
  </si>
  <si>
    <t xml:space="preserve">https://x.com/kuzirai0</t>
  </si>
  <si>
    <t xml:space="preserve">セクシー</t>
  </si>
  <si>
    <t xml:space="preserve">2026091701</t>
  </si>
  <si>
    <t xml:space="preserve">そらさん</t>
  </si>
  <si>
    <t xml:space="preserve">https://www.tokyo-crossdress.com/WBlog/2026091701-600.jpg</t>
  </si>
  <si>
    <t xml:space="preserve">https://x.com/c_c_oc_</t>
  </si>
  <si>
    <t xml:space="preserve">コスプレ</t>
  </si>
  <si>
    <t xml:space="preserve">2026091602</t>
  </si>
  <si>
    <t xml:space="preserve">ねる</t>
  </si>
  <si>
    <t xml:space="preserve">https://www.tokyo-crossdress.com/WBlog/2026091602-600.jpg</t>
  </si>
  <si>
    <t xml:space="preserve">https://x.com/smikao__rix</t>
  </si>
  <si>
    <t xml:space="preserve">ナチュラル</t>
  </si>
  <si>
    <t xml:space="preserve">モード</t>
  </si>
  <si>
    <t xml:space="preserve">2026091601</t>
  </si>
  <si>
    <t xml:space="preserve">せりか</t>
  </si>
  <si>
    <t xml:space="preserve">https://www.tokyo-crossdress.com/WBlog/2026091601-600.jpg</t>
  </si>
  <si>
    <t xml:space="preserve">https://x.com/Celica815</t>
  </si>
  <si>
    <t xml:space="preserve">和装</t>
  </si>
  <si>
    <t xml:space="preserve">2026090903</t>
  </si>
  <si>
    <t xml:space="preserve">このか</t>
  </si>
  <si>
    <t xml:space="preserve">https://www.tokyo-crossdress.com/WBlog/2026090903-600.jpg</t>
  </si>
  <si>
    <t xml:space="preserve">https://x.com/konoka2024</t>
  </si>
  <si>
    <t xml:space="preserve">ゴス・地雷</t>
  </si>
  <si>
    <t xml:space="preserve">2026090902</t>
  </si>
  <si>
    <t xml:space="preserve">愛瀬 ゆみ</t>
  </si>
  <si>
    <t xml:space="preserve">https://www.tokyo-crossdress.com/WBlog/2026090902-600.jpg</t>
  </si>
  <si>
    <t xml:space="preserve">https://x.com/yu_mi_LI_BE</t>
  </si>
  <si>
    <t xml:space="preserve">2026090901</t>
  </si>
  <si>
    <t xml:space="preserve">るのん</t>
  </si>
  <si>
    <t xml:space="preserve">https://www.tokyo-crossdress.com/WBlog/2026090901-600.jpg</t>
  </si>
  <si>
    <t xml:space="preserve">https://x.com/runonchan_</t>
  </si>
  <si>
    <t xml:space="preserve">2026090706</t>
  </si>
  <si>
    <t xml:space="preserve">みあ</t>
  </si>
  <si>
    <t xml:space="preserve">https://www.tokyo-crossdress.com/WBlog/2026090706-600.jpg</t>
  </si>
  <si>
    <t xml:space="preserve">https://x.com/uux1q</t>
  </si>
  <si>
    <t xml:space="preserve">2026090705</t>
  </si>
  <si>
    <t xml:space="preserve">ふわり</t>
  </si>
  <si>
    <t xml:space="preserve">https://www.tokyo-crossdress.com/WBlog/2026090705-600.jpg</t>
  </si>
  <si>
    <t xml:space="preserve">https://x.com/fufufufu_fuwari</t>
  </si>
  <si>
    <t xml:space="preserve">https://www.instagram.com/fuwafuwa20220523</t>
  </si>
  <si>
    <t xml:space="preserve">2026090704</t>
  </si>
  <si>
    <t xml:space="preserve">わかな</t>
  </si>
  <si>
    <t xml:space="preserve">https://www.tokyo-crossdress.com/WBlog/2026090704-600.jpg</t>
  </si>
  <si>
    <t xml:space="preserve">https://x.com/DXwakana</t>
  </si>
  <si>
    <t xml:space="preserve">https://www.instagram.com/dxwakana</t>
  </si>
  <si>
    <t xml:space="preserve">2026090703</t>
  </si>
  <si>
    <t xml:space="preserve">♂KATE♀</t>
  </si>
  <si>
    <t xml:space="preserve">https://www.tokyo-crossdress.com/WBlog/2026090703-600.jpg</t>
  </si>
  <si>
    <t xml:space="preserve">https://x.com/KATE_5903</t>
  </si>
  <si>
    <t xml:space="preserve">ボーイッシュ</t>
  </si>
  <si>
    <t xml:space="preserve">2026090702</t>
  </si>
  <si>
    <t xml:space="preserve">るん</t>
  </si>
  <si>
    <t xml:space="preserve">https://www.tokyo-crossdress.com/WBlog/2026090702-600.jpg</t>
  </si>
  <si>
    <t xml:space="preserve">https://x.com/run_run_runact2</t>
  </si>
  <si>
    <t xml:space="preserve">2026090701</t>
  </si>
  <si>
    <t xml:space="preserve">河原由奈</t>
  </si>
  <si>
    <t xml:space="preserve">https://www.tokyo-crossdress.com/WBlog/2026090701-600.jpg</t>
  </si>
  <si>
    <t xml:space="preserve">https://x.com/yunayuna_chin</t>
  </si>
  <si>
    <t xml:space="preserve">2026090202</t>
  </si>
  <si>
    <t xml:space="preserve">ミヅキ</t>
  </si>
  <si>
    <t xml:space="preserve">https://www.tokyo-crossdress.com/WBlog/2026090202-600.jpg</t>
  </si>
  <si>
    <t xml:space="preserve">https://x.com/mizuki600n</t>
  </si>
  <si>
    <t xml:space="preserve">https://www.instagram.com/mizuki600n</t>
  </si>
  <si>
    <t xml:space="preserve">2026090201</t>
  </si>
  <si>
    <t xml:space="preserve">東籬夕佳</t>
  </si>
  <si>
    <t xml:space="preserve">https://www.tokyo-crossdress.com/WBlog/2026090201-600.jpg</t>
  </si>
  <si>
    <t xml:space="preserve">https://x.com/tohriyuka</t>
  </si>
  <si>
    <t xml:space="preserve">2026082803</t>
  </si>
  <si>
    <t xml:space="preserve">フォルテ</t>
  </si>
  <si>
    <t xml:space="preserve">https://www.tokyo-crossdress.com/WBlog/2026082803-600.jpg</t>
  </si>
  <si>
    <t xml:space="preserve">https://x.com/forte_xox</t>
  </si>
  <si>
    <t xml:space="preserve">2026082802</t>
  </si>
  <si>
    <t xml:space="preserve">のだち</t>
  </si>
  <si>
    <t xml:space="preserve">https://www.tokyo-crossdress.com/WBlog/2026082802-600.jpg</t>
  </si>
  <si>
    <t xml:space="preserve">https://x.com/nodachanmaru</t>
  </si>
  <si>
    <t xml:space="preserve">2026082801</t>
  </si>
  <si>
    <t xml:space="preserve">魅流紅</t>
  </si>
  <si>
    <t xml:space="preserve">https://www.tokyo-crossdress.com/WBlog/2026082801-600.jpg</t>
  </si>
  <si>
    <t xml:space="preserve">https://x.com/kamarezu_milk</t>
  </si>
  <si>
    <t xml:space="preserve">ギャル</t>
  </si>
  <si>
    <t xml:space="preserve">2026082105</t>
  </si>
  <si>
    <t xml:space="preserve">ニィーナ❤︎</t>
  </si>
  <si>
    <t xml:space="preserve">https://www.tokyo-crossdress.com/WBlog/2026082105-600.jpg</t>
  </si>
  <si>
    <t xml:space="preserve">https://x.com/nt882059</t>
  </si>
  <si>
    <t xml:space="preserve">ロリータ</t>
  </si>
  <si>
    <t xml:space="preserve">2026082104</t>
  </si>
  <si>
    <t xml:space="preserve">月代 澪</t>
  </si>
  <si>
    <t xml:space="preserve">https://www.tokyo-crossdress.com/WBlog/2026082104-600.jpg</t>
  </si>
  <si>
    <t xml:space="preserve">https://x.com/MIO_TSUKISHIRO_</t>
  </si>
  <si>
    <t xml:space="preserve">https://www.instagram.com/mio_mio_b</t>
  </si>
  <si>
    <t xml:space="preserve">2026082103</t>
  </si>
  <si>
    <t xml:space="preserve">水本ミツキ</t>
  </si>
  <si>
    <t xml:space="preserve">https://www.tokyo-crossdress.com/WBlog/2026082103-600.jpg</t>
  </si>
  <si>
    <t xml:space="preserve">https://x.com/miz_cd_</t>
  </si>
  <si>
    <t xml:space="preserve">2026082102</t>
  </si>
  <si>
    <t xml:space="preserve">あべのじゃく(邪鬼)</t>
  </si>
  <si>
    <t xml:space="preserve">https://www.tokyo-crossdress.com/WBlog/2026082102-600.jpg</t>
  </si>
  <si>
    <t xml:space="preserve">https://x.com/Abechan893</t>
  </si>
  <si>
    <t xml:space="preserve">2026082101</t>
  </si>
  <si>
    <t xml:space="preserve">ゆり</t>
  </si>
  <si>
    <t xml:space="preserve">https://www.tokyo-crossdress.com/WBlog/2026082101-600.jpg</t>
  </si>
  <si>
    <t xml:space="preserve">https://x.com/yuri_otoko</t>
  </si>
  <si>
    <t xml:space="preserve">韓国風</t>
  </si>
  <si>
    <t xml:space="preserve">2026081902</t>
  </si>
  <si>
    <t xml:space="preserve">だしまき＊たまご</t>
  </si>
  <si>
    <t xml:space="preserve">https://www.tokyo-crossdress.com/WBlog/2026081902-600.jpg</t>
  </si>
  <si>
    <t xml:space="preserve">https://x.com/dasimaki77</t>
  </si>
  <si>
    <t xml:space="preserve">2026081901</t>
  </si>
  <si>
    <t xml:space="preserve">凛</t>
  </si>
  <si>
    <t xml:space="preserve">https://www.tokyo-crossdress.com/WBlog/2026081901-600.jpg</t>
  </si>
  <si>
    <t xml:space="preserve">https://x.com/rinrin_sadness_</t>
  </si>
  <si>
    <t xml:space="preserve">2026081402</t>
  </si>
  <si>
    <t xml:space="preserve">AmilyTan</t>
  </si>
  <si>
    <t xml:space="preserve">https://www.tokyo-crossdress.com/WBlog/2026081402-600.jpg</t>
  </si>
  <si>
    <t xml:space="preserve">https://x.com/AmilyTan1988</t>
  </si>
  <si>
    <t xml:space="preserve">2026081401</t>
  </si>
  <si>
    <t xml:space="preserve">みずな</t>
  </si>
  <si>
    <t xml:space="preserve">https://www.tokyo-crossdress.com/WBlog/2026081401-600.jpg</t>
  </si>
  <si>
    <t xml:space="preserve">https://x.com/mizunajosu</t>
  </si>
  <si>
    <t xml:space="preserve">2026081005</t>
  </si>
  <si>
    <t xml:space="preserve">まき</t>
  </si>
  <si>
    <t xml:space="preserve">https://www.tokyo-crossdress.com/WBlog/2026081005-600.jpg</t>
  </si>
  <si>
    <t xml:space="preserve">https://x.com/mmmmaaakki</t>
  </si>
  <si>
    <t xml:space="preserve">2026081004</t>
  </si>
  <si>
    <t xml:space="preserve">まな</t>
  </si>
  <si>
    <t xml:space="preserve">https://www.tokyo-crossdress.com/WBlog/2026081004-600.jpg</t>
  </si>
  <si>
    <t xml:space="preserve">https://x.com/mana_xdres</t>
  </si>
  <si>
    <t xml:space="preserve">2026081003</t>
  </si>
  <si>
    <t xml:space="preserve">まゆ</t>
  </si>
  <si>
    <t xml:space="preserve">https://www.tokyo-crossdress.com/WBlog/2026081003-600.jpg</t>
  </si>
  <si>
    <t xml:space="preserve">https://x.com/karinamayu</t>
  </si>
  <si>
    <t xml:space="preserve">https://www.instagram.com/mayu.7518</t>
  </si>
  <si>
    <t xml:space="preserve">2026081002</t>
  </si>
  <si>
    <t xml:space="preserve">さいか</t>
  </si>
  <si>
    <t xml:space="preserve">https://www.tokyo-crossdress.com/WBlog/2026081002-600.jpg</t>
  </si>
  <si>
    <t xml:space="preserve">https://x.com/saikq318</t>
  </si>
  <si>
    <t xml:space="preserve">2026081001</t>
  </si>
  <si>
    <t xml:space="preserve">なな</t>
  </si>
  <si>
    <t xml:space="preserve">https://www.tokyo-crossdress.com/WBlog/2026081001-600.jpg</t>
  </si>
  <si>
    <t xml:space="preserve">https://x.com/n0a4n0a4NNUSG</t>
  </si>
  <si>
    <t xml:space="preserve">https://www.instagram.com/n0a4n0a4nnusg</t>
  </si>
  <si>
    <t xml:space="preserve">2026073008</t>
  </si>
  <si>
    <t xml:space="preserve">世界のさき</t>
  </si>
  <si>
    <t xml:space="preserve">https://www.tokyo-crossdress.com/WBlog/2026073008-600.jpg</t>
  </si>
  <si>
    <t xml:space="preserve">https://x.com/TS020_sakky</t>
  </si>
  <si>
    <t xml:space="preserve">2026073007</t>
  </si>
  <si>
    <t xml:space="preserve">ひなた</t>
  </si>
  <si>
    <t xml:space="preserve">https://www.tokyo-crossdress.com/WBlog/2026073007-600.jpg</t>
  </si>
  <si>
    <t xml:space="preserve">https://x.com/hinata230422</t>
  </si>
  <si>
    <t xml:space="preserve">2026073006</t>
  </si>
  <si>
    <t xml:space="preserve">トト</t>
  </si>
  <si>
    <t xml:space="preserve">https://www.tokyo-crossdress.com/WBlog/2026073006-600.jpg</t>
  </si>
  <si>
    <t xml:space="preserve">https://x.com/totodesu_0929</t>
  </si>
  <si>
    <t xml:space="preserve">2026073005</t>
  </si>
  <si>
    <r>
      <rPr>
        <sz val="10"/>
        <rFont val="Noto Sans CJK SC"/>
        <family val="2"/>
        <charset val="1"/>
      </rPr>
      <t xml:space="preserve">くろな✞</t>
    </r>
    <r>
      <rPr>
        <sz val="10"/>
        <rFont val="FreeSans"/>
        <family val="2"/>
      </rPr>
      <t xml:space="preserve">໒</t>
    </r>
    <r>
      <rPr>
        <sz val="10"/>
        <rFont val="Noto Sans CJK SC"/>
        <family val="2"/>
        <charset val="1"/>
      </rPr>
      <t xml:space="preserve">꒱</t>
    </r>
  </si>
  <si>
    <t xml:space="preserve">https://www.tokyo-crossdress.com/WBlog/2026073005-600.jpg</t>
  </si>
  <si>
    <t xml:space="preserve">https://x.com/kuro02nyanko</t>
  </si>
  <si>
    <t xml:space="preserve">2026073004</t>
  </si>
  <si>
    <t xml:space="preserve">外村 なお</t>
  </si>
  <si>
    <t xml:space="preserve">https://www.tokyo-crossdress.com/WBlog/2026073004-600.jpg</t>
  </si>
  <si>
    <t xml:space="preserve">https://x.com/poncotsu_nao</t>
  </si>
  <si>
    <t xml:space="preserve">2026073003</t>
  </si>
  <si>
    <t xml:space="preserve">ちま</t>
  </si>
  <si>
    <t xml:space="preserve">https://www.tokyo-crossdress.com/WBlog/2026073003-600.jpg</t>
  </si>
  <si>
    <t xml:space="preserve">https://x.com/tsugechima</t>
  </si>
  <si>
    <t xml:space="preserve">https://www.instagram.com/soko60606</t>
  </si>
  <si>
    <t xml:space="preserve">2026073002</t>
  </si>
  <si>
    <t xml:space="preserve">ミン</t>
  </si>
  <si>
    <t xml:space="preserve">https://www.tokyo-crossdress.com/WBlog/2026073002-600.jpg</t>
  </si>
  <si>
    <t xml:space="preserve">https://x.com/Mincb2r</t>
  </si>
  <si>
    <t xml:space="preserve">2026073001</t>
  </si>
  <si>
    <t xml:space="preserve">ゆうか</t>
  </si>
  <si>
    <t xml:space="preserve">https://www.tokyo-crossdress.com/WBlog/2026073001-600.jpg</t>
  </si>
  <si>
    <t xml:space="preserve">https://x.com/yuuka_make</t>
  </si>
  <si>
    <t xml:space="preserve">https://www.instagram.com/yuuka.xgender</t>
  </si>
  <si>
    <t xml:space="preserve">2026072701</t>
  </si>
  <si>
    <t xml:space="preserve">空彩じゅーす</t>
  </si>
  <si>
    <t xml:space="preserve">https://www.tokyo-crossdress.com/WBlog/2026072701-600.jpg</t>
  </si>
  <si>
    <t xml:space="preserve">https://x.com/sorairo_juice</t>
  </si>
  <si>
    <t xml:space="preserve">https://www.instagram.com/sorairo_juice_</t>
  </si>
  <si>
    <t xml:space="preserve">2026072303</t>
  </si>
  <si>
    <t xml:space="preserve">亜夢</t>
  </si>
  <si>
    <t xml:space="preserve">https://www.tokyo-crossdress.com/WBlog/2026072303-600.jpg</t>
  </si>
  <si>
    <t xml:space="preserve">https://x.com/BWDCGCwesE7611</t>
  </si>
  <si>
    <t xml:space="preserve">2026072302</t>
  </si>
  <si>
    <t xml:space="preserve">ごんざえもんなの</t>
  </si>
  <si>
    <t xml:space="preserve">https://www.tokyo-crossdress.com/WBlog/2026072302-600.jpg</t>
  </si>
  <si>
    <t xml:space="preserve">https://x.com/gonzaemon_nano</t>
  </si>
  <si>
    <t xml:space="preserve">2026072301</t>
  </si>
  <si>
    <t xml:space="preserve">クロ</t>
  </si>
  <si>
    <t xml:space="preserve">https://www.tokyo-crossdress.com/WBlog/2026072301-600.jpg</t>
  </si>
  <si>
    <t xml:space="preserve">https://x.com/kukukuro2498</t>
  </si>
  <si>
    <t xml:space="preserve">2026072004</t>
  </si>
  <si>
    <t xml:space="preserve">かっしー</t>
  </si>
  <si>
    <t xml:space="preserve">https://www.tokyo-crossdress.com/WBlog/2026072004-600.jpg</t>
  </si>
  <si>
    <t xml:space="preserve">https://x.com/kasshii_chan</t>
  </si>
  <si>
    <t xml:space="preserve">2026072003</t>
  </si>
  <si>
    <t xml:space="preserve">涼菜</t>
  </si>
  <si>
    <t xml:space="preserve">https://www.tokyo-crossdress.com/WBlog/2026072003-600.jpg</t>
  </si>
  <si>
    <t xml:space="preserve">https://x.com/suzuna_cd</t>
  </si>
  <si>
    <t xml:space="preserve">2026072002</t>
  </si>
  <si>
    <t xml:space="preserve">星谷マリコ</t>
  </si>
  <si>
    <t xml:space="preserve">https://www.tokyo-crossdress.com/WBlog/2026072002-600.jpg</t>
  </si>
  <si>
    <t xml:space="preserve">https://x.com/masamariko1</t>
  </si>
  <si>
    <t xml:space="preserve">2026072001</t>
  </si>
  <si>
    <t xml:space="preserve">女装 める子の日記</t>
  </si>
  <si>
    <t xml:space="preserve">https://www.tokyo-crossdress.com/WBlog/2026072001-600.jpg</t>
  </si>
  <si>
    <t xml:space="preserve">https://x.com/melko20250505</t>
  </si>
  <si>
    <t xml:space="preserve">2026070903</t>
  </si>
  <si>
    <t xml:space="preserve">睡魔ちゃん</t>
  </si>
  <si>
    <t xml:space="preserve">https://www.tokyo-crossdress.com/WBlog/2026070903-600.jpg</t>
  </si>
  <si>
    <t xml:space="preserve">https://x.com/FUN7xxx</t>
  </si>
  <si>
    <t xml:space="preserve">2026070902</t>
  </si>
  <si>
    <t xml:space="preserve">ゆき</t>
  </si>
  <si>
    <t xml:space="preserve">https://www.tokyo-crossdress.com/WBlog/2026070902-600.jpg</t>
  </si>
  <si>
    <t xml:space="preserve">https://x.com/paruparuyuki39k</t>
  </si>
  <si>
    <t xml:space="preserve">2026070901</t>
  </si>
  <si>
    <t xml:space="preserve">京極唯</t>
  </si>
  <si>
    <t xml:space="preserve">https://www.tokyo-crossdress.com/WBlog/2026070901-600.jpg</t>
  </si>
  <si>
    <t xml:space="preserve">https://x.com/yuiitu_no_yui</t>
  </si>
  <si>
    <t xml:space="preserve">2026070304</t>
  </si>
  <si>
    <t xml:space="preserve">みく</t>
  </si>
  <si>
    <t xml:space="preserve">https://www.tokyo-crossdress.com/WBlog/2026070304-600.jpg</t>
  </si>
  <si>
    <t xml:space="preserve">https://x.com/mikupoyo_4</t>
  </si>
  <si>
    <t xml:space="preserve">2026070303</t>
  </si>
  <si>
    <t xml:space="preserve">し・ほみん</t>
  </si>
  <si>
    <t xml:space="preserve">https://www.tokyo-crossdress.com/WBlog/2026070303-600.jpg</t>
  </si>
  <si>
    <t xml:space="preserve">https://x.com/sailorprecure21</t>
  </si>
  <si>
    <t xml:space="preserve">https://www.instagram.com/shehomin03</t>
  </si>
  <si>
    <t xml:space="preserve">2026070302</t>
  </si>
  <si>
    <t xml:space="preserve">mitsukiSakura</t>
  </si>
  <si>
    <t xml:space="preserve">https://www.tokyo-crossdress.com/WBlog/2026070302-600.jpg</t>
  </si>
  <si>
    <t xml:space="preserve">https://x.com/ms2_zzz</t>
  </si>
  <si>
    <t xml:space="preserve">2026070301</t>
  </si>
  <si>
    <t xml:space="preserve">百日ラビ</t>
  </si>
  <si>
    <t xml:space="preserve">https://www.tokyo-crossdress.com/WBlog/2026070301-600.jpg</t>
  </si>
  <si>
    <t xml:space="preserve">https://x.com/100days_rabbit</t>
  </si>
  <si>
    <t xml:space="preserve">2026063009</t>
  </si>
  <si>
    <t xml:space="preserve">ひださく</t>
  </si>
  <si>
    <t xml:space="preserve">https://www.tokyo-crossdress.com/WBlog/2026063009-600.jpg</t>
  </si>
  <si>
    <t xml:space="preserve">https://x.com/hidasaku</t>
  </si>
  <si>
    <t xml:space="preserve">2026063008</t>
  </si>
  <si>
    <t xml:space="preserve">桜月モナカ</t>
  </si>
  <si>
    <t xml:space="preserve">https://www.tokyo-crossdress.com/WBlog/2026063008-600.jpg</t>
  </si>
  <si>
    <t xml:space="preserve">https://x.com/5akuramoca</t>
  </si>
  <si>
    <t xml:space="preserve">2026063007</t>
  </si>
  <si>
    <t xml:space="preserve">manaka</t>
  </si>
  <si>
    <t xml:space="preserve">https://www.tokyo-crossdress.com/WBlog/2026063007-600.jpg</t>
  </si>
  <si>
    <t xml:space="preserve">https://x.com/manaka_5_7</t>
  </si>
  <si>
    <t xml:space="preserve">https://www.instagram.com/manaka_5_7</t>
  </si>
  <si>
    <t xml:space="preserve">2026063006</t>
  </si>
  <si>
    <t xml:space="preserve">ゆかまる</t>
  </si>
  <si>
    <t xml:space="preserve">https://www.tokyo-crossdress.com/WBlog/2026063006-600.jpg</t>
  </si>
  <si>
    <t xml:space="preserve">https://x.com/yuka_did</t>
  </si>
  <si>
    <t xml:space="preserve">2026063005</t>
  </si>
  <si>
    <t xml:space="preserve">白石あやめ</t>
  </si>
  <si>
    <t xml:space="preserve">https://www.tokyo-crossdress.com/WBlog/2026063005-600.jpg</t>
  </si>
  <si>
    <t xml:space="preserve">https://x.com/ayamechan36</t>
  </si>
  <si>
    <t xml:space="preserve">https://www.instagram.com/shiraishi_ayame</t>
  </si>
  <si>
    <t xml:space="preserve">2026063004</t>
  </si>
  <si>
    <t xml:space="preserve">hitomi1103</t>
  </si>
  <si>
    <t xml:space="preserve">https://www.tokyo-crossdress.com/WBlog/2026063004-600.jpg</t>
  </si>
  <si>
    <t xml:space="preserve">https://x.com/ellemoi8778</t>
  </si>
  <si>
    <t xml:space="preserve">2026063003</t>
  </si>
  <si>
    <t xml:space="preserve">ピーナッツ🥜</t>
  </si>
  <si>
    <t xml:space="preserve">https://www.tokyo-crossdress.com/WBlog/2026063003-600.jpg</t>
  </si>
  <si>
    <t xml:space="preserve">https://x.com/plln4ttsu</t>
  </si>
  <si>
    <t xml:space="preserve">2026063002</t>
  </si>
  <si>
    <t xml:space="preserve">鳳崎翼</t>
  </si>
  <si>
    <t xml:space="preserve">https://www.tokyo-crossdress.com/WBlog/2026063002-600.jpg</t>
  </si>
  <si>
    <t xml:space="preserve">https://x.com/cNIvEBD7nxR8tT7</t>
  </si>
  <si>
    <t xml:space="preserve">2026063001</t>
  </si>
  <si>
    <t xml:space="preserve">かずぴょん</t>
  </si>
  <si>
    <t xml:space="preserve">https://www.tokyo-crossdress.com/WBlog/2026063001-600.jpg</t>
  </si>
  <si>
    <t xml:space="preserve">https://x.com/kazuclock_josou</t>
  </si>
  <si>
    <t xml:space="preserve">https://www.instagram.com/kazu_pyon0128</t>
  </si>
  <si>
    <t xml:space="preserve">2026062901</t>
  </si>
  <si>
    <t xml:space="preserve">ゆあ</t>
  </si>
  <si>
    <t xml:space="preserve">https://www.tokyo-crossdress.com/WBlog/2026062901-600.jpg</t>
  </si>
  <si>
    <t xml:space="preserve">https://x.com/tyukityuki_yua/media</t>
  </si>
  <si>
    <t xml:space="preserve">2026062506</t>
  </si>
  <si>
    <t xml:space="preserve">𝐴𝑦𝑎𝑛𝑎</t>
  </si>
  <si>
    <t xml:space="preserve">https://www.tokyo-crossdress.com/WBlog/2026062506-600.jpg</t>
  </si>
  <si>
    <t xml:space="preserve">https://x.com/poioiooweight</t>
  </si>
  <si>
    <t xml:space="preserve">2026062505</t>
  </si>
  <si>
    <t xml:space="preserve">https://www.tokyo-crossdress.com/WBlog/2026062505-600.jpg</t>
  </si>
  <si>
    <t xml:space="preserve">https://x.com/HarunohiWakana</t>
  </si>
  <si>
    <t xml:space="preserve">2026062504</t>
  </si>
  <si>
    <t xml:space="preserve">小倉あずき</t>
  </si>
  <si>
    <t xml:space="preserve">https://www.tokyo-crossdress.com/WBlog/2026062504-600.jpg</t>
  </si>
  <si>
    <t xml:space="preserve">https://x.com/Azuki_Xdress</t>
  </si>
  <si>
    <t xml:space="preserve">https://www.instagram.com/azuki_xdress</t>
  </si>
  <si>
    <t xml:space="preserve">2026062503</t>
  </si>
  <si>
    <t xml:space="preserve">のぞみ</t>
  </si>
  <si>
    <t xml:space="preserve">https://www.tokyo-crossdress.com/WBlog/2026062503-600.jpg</t>
  </si>
  <si>
    <t xml:space="preserve">https://x.com/zoe3_sax</t>
  </si>
  <si>
    <t xml:space="preserve">https://www.instagram.com/nozomi_zoe3_sax</t>
  </si>
  <si>
    <t xml:space="preserve">2026062502</t>
  </si>
  <si>
    <t xml:space="preserve">優莉</t>
  </si>
  <si>
    <t xml:space="preserve">https://www.tokyo-crossdress.com/WBlog/2026062502-600.jpg</t>
  </si>
  <si>
    <t xml:space="preserve">https://x.com/Yuurii_cd</t>
  </si>
  <si>
    <t xml:space="preserve">2026062501</t>
  </si>
  <si>
    <t xml:space="preserve">烏丸優衣</t>
  </si>
  <si>
    <t xml:space="preserve">https://www.tokyo-crossdress.com/WBlog/2026062501-600.jpg</t>
  </si>
  <si>
    <t xml:space="preserve">https://x.com/yui_karasuma</t>
  </si>
  <si>
    <t xml:space="preserve">2026062402</t>
  </si>
  <si>
    <t xml:space="preserve">さけ(かす)ドンペリドン</t>
  </si>
  <si>
    <t xml:space="preserve">https://www.tokyo-crossdress.com/WBlog/2026062402-600.jpg</t>
  </si>
  <si>
    <t xml:space="preserve">https://x.com/718116_yo</t>
  </si>
  <si>
    <t xml:space="preserve">2026062002</t>
  </si>
  <si>
    <t xml:space="preserve">迷走メロディ</t>
  </si>
  <si>
    <t xml:space="preserve">https://www.tokyo-crossdress.com/WBlog/2026062002-600.jpg</t>
  </si>
  <si>
    <t xml:space="preserve">https://x.com/kuitanpinfu2000/media</t>
  </si>
  <si>
    <t xml:space="preserve">2026062001</t>
  </si>
  <si>
    <t xml:space="preserve">みなみ</t>
  </si>
  <si>
    <t xml:space="preserve">https://www.tokyo-crossdress.com/WBlog/2026062001-600.jpg</t>
  </si>
  <si>
    <t xml:space="preserve">https://x.com/minami009230</t>
  </si>
  <si>
    <t xml:space="preserve">2026061204</t>
  </si>
  <si>
    <t xml:space="preserve">もち</t>
  </si>
  <si>
    <t xml:space="preserve">https://www.tokyo-crossdress.com/WBlog/2026061204-600.jpg</t>
  </si>
  <si>
    <t xml:space="preserve">https://x.com/mochikin_chuck</t>
  </si>
  <si>
    <t xml:space="preserve">2026061203</t>
  </si>
  <si>
    <t xml:space="preserve">ちほ</t>
  </si>
  <si>
    <t xml:space="preserve">https://www.tokyo-crossdress.com/WBlog/2026061203-600.jpg</t>
  </si>
  <si>
    <t xml:space="preserve">https://x.com/erena_natuki</t>
  </si>
  <si>
    <t xml:space="preserve">https://www.instagram.com/chi_ho0824</t>
  </si>
  <si>
    <t xml:space="preserve">2026061202</t>
  </si>
  <si>
    <t xml:space="preserve">るい</t>
  </si>
  <si>
    <t xml:space="preserve">https://www.tokyo-crossdress.com/WBlog/2026061202-600.jpg</t>
  </si>
  <si>
    <t xml:space="preserve">https://x.com/ruirui_peach</t>
  </si>
  <si>
    <t xml:space="preserve">https://www.instagram.com/ruirui_peach</t>
  </si>
  <si>
    <t xml:space="preserve">2026061102</t>
  </si>
  <si>
    <t xml:space="preserve">眠</t>
  </si>
  <si>
    <t xml:space="preserve">https://www.tokyo-crossdress.com/WBlog/2026061102-600.jpg</t>
  </si>
  <si>
    <t xml:space="preserve">https://x.com/nemui_qfkm6</t>
  </si>
  <si>
    <t xml:space="preserve">2026060803</t>
  </si>
  <si>
    <t xml:space="preserve">花村ゆぅら</t>
  </si>
  <si>
    <t xml:space="preserve">https://www.tokyo-crossdress.com/WBlog/2026060803-600.jpg</t>
  </si>
  <si>
    <t xml:space="preserve">https://x.com/yuura_libe</t>
  </si>
  <si>
    <t xml:space="preserve">2026060802</t>
  </si>
  <si>
    <t xml:space="preserve">こりす</t>
  </si>
  <si>
    <t xml:space="preserve">https://www.tokyo-crossdress.com/WBlog/2026060802-600.jpg</t>
  </si>
  <si>
    <t xml:space="preserve">https://x.com/koririsosu</t>
  </si>
  <si>
    <t xml:space="preserve">2026060801</t>
  </si>
  <si>
    <t xml:space="preserve">ゆとりちゃん</t>
  </si>
  <si>
    <t xml:space="preserve">https://www.tokyo-crossdress.com/WBlog/2026060801-600.jpg</t>
  </si>
  <si>
    <t xml:space="preserve">https://x.com/6641Izumi</t>
  </si>
  <si>
    <t xml:space="preserve">2026060101</t>
  </si>
  <si>
    <t xml:space="preserve">真白珠杏</t>
  </si>
  <si>
    <t xml:space="preserve">https://www.tokyo-crossdress.com/WBlog/2026060101-600.jpg</t>
  </si>
  <si>
    <t xml:space="preserve">https://x.com/juanmashiro</t>
  </si>
  <si>
    <t xml:space="preserve">2026052801</t>
  </si>
  <si>
    <t xml:space="preserve">まよ</t>
  </si>
  <si>
    <t xml:space="preserve">https://www.tokyo-crossdress.com/WBlog/2026052801-600.jpg</t>
  </si>
  <si>
    <t xml:space="preserve">https://x.com/mayo06585</t>
  </si>
  <si>
    <t xml:space="preserve">2026052502</t>
  </si>
  <si>
    <t xml:space="preserve">ありみな</t>
  </si>
  <si>
    <t xml:space="preserve">https://www.tokyo-crossdress.com/WBlog/2026052502-600.jpg</t>
  </si>
  <si>
    <t xml:space="preserve">https://x.com/ARiMuRa_SaMa</t>
  </si>
  <si>
    <t xml:space="preserve">2026052501</t>
  </si>
  <si>
    <t xml:space="preserve">沙衣</t>
  </si>
  <si>
    <t xml:space="preserve">https://www.tokyo-crossdress.com/WBlog/2026052501-600.jpg</t>
  </si>
  <si>
    <t xml:space="preserve">https://x.com/sae_nogi_1248</t>
  </si>
  <si>
    <t xml:space="preserve">2026052302</t>
  </si>
  <si>
    <t xml:space="preserve">皆月朔夜</t>
  </si>
  <si>
    <t xml:space="preserve">https://www.tokyo-crossdress.com/WBlog/2026052302-600.jpg</t>
  </si>
  <si>
    <t xml:space="preserve">https://x.com/sakulove1212</t>
  </si>
  <si>
    <t xml:space="preserve">2026052301</t>
  </si>
  <si>
    <t xml:space="preserve">サクラ</t>
  </si>
  <si>
    <t xml:space="preserve">https://www.tokyo-crossdress.com/WBlog/2026052301-600.jpg</t>
  </si>
  <si>
    <t xml:space="preserve">https://x.com/saku_ra_men</t>
  </si>
  <si>
    <t xml:space="preserve">2026052003</t>
  </si>
  <si>
    <t xml:space="preserve">まりこ</t>
  </si>
  <si>
    <t xml:space="preserve">https://www.tokyo-crossdress.com/WBlog/2026052003-600.jpg</t>
  </si>
  <si>
    <t xml:space="preserve">https://x.com/nakamari_cross</t>
  </si>
  <si>
    <t xml:space="preserve">2026052002</t>
  </si>
  <si>
    <t xml:space="preserve">かえで</t>
  </si>
  <si>
    <t xml:space="preserve">https://www.tokyo-crossdress.com/WBlog/2026052002-600.jpg</t>
  </si>
  <si>
    <t xml:space="preserve">https://x.com/kaede_forever18</t>
  </si>
  <si>
    <t xml:space="preserve">2026052001</t>
  </si>
  <si>
    <t xml:space="preserve">しぃな</t>
  </si>
  <si>
    <t xml:space="preserve">https://www.tokyo-crossdress.com/WBlog/2026052001-600.jpg</t>
  </si>
  <si>
    <t xml:space="preserve">https://x.com/Shina_m0516</t>
  </si>
  <si>
    <t xml:space="preserve">2026051504</t>
  </si>
  <si>
    <t xml:space="preserve">chaos</t>
  </si>
  <si>
    <t xml:space="preserve">https://www.tokyo-crossdress.com/WBlog/2026051504-600.jpg</t>
  </si>
  <si>
    <t xml:space="preserve">https://x.com/chaos96576736</t>
  </si>
  <si>
    <t xml:space="preserve">2026051503</t>
  </si>
  <si>
    <t xml:space="preserve">しいの</t>
  </si>
  <si>
    <t xml:space="preserve">https://www.tokyo-crossdress.com/WBlog/2026051503-600.jpg</t>
  </si>
  <si>
    <t xml:space="preserve">https://x.com/Oyn2HMdsCv55307</t>
  </si>
  <si>
    <t xml:space="preserve">2026051501</t>
  </si>
  <si>
    <t xml:space="preserve">星乃hiro</t>
  </si>
  <si>
    <t xml:space="preserve">https://www.tokyo-crossdress.com/WBlog/2026051501-600.jpg</t>
  </si>
  <si>
    <t xml:space="preserve">https://x.com/hirochanhispeed</t>
  </si>
  <si>
    <t xml:space="preserve">2026051301</t>
  </si>
  <si>
    <t xml:space="preserve">ちよ</t>
  </si>
  <si>
    <t xml:space="preserve">https://www.tokyo-crossdress.com/WBlog/2026051301-600.jpg</t>
  </si>
  <si>
    <t xml:space="preserve">https://x.com/Mr6NMZFMCa67519</t>
  </si>
  <si>
    <t xml:space="preserve">2026051105</t>
  </si>
  <si>
    <t xml:space="preserve">まろん</t>
  </si>
  <si>
    <t xml:space="preserve">https://www.tokyo-crossdress.com/WBlog/2026051105-600.jpg</t>
  </si>
  <si>
    <t xml:space="preserve">https://x.com/maroron00910</t>
  </si>
  <si>
    <t xml:space="preserve">2026051104</t>
  </si>
  <si>
    <t xml:space="preserve">とゅくし</t>
  </si>
  <si>
    <t xml:space="preserve">https://www.tokyo-crossdress.com/WBlog/2026051104-600.jpg</t>
  </si>
  <si>
    <t xml:space="preserve">https://x.com/yurusenna_bot</t>
  </si>
  <si>
    <t xml:space="preserve">2026051103</t>
  </si>
  <si>
    <t xml:space="preserve">萩花</t>
  </si>
  <si>
    <t xml:space="preserve">https://www.tokyo-crossdress.com/WBlog/2026051103-600.jpg</t>
  </si>
  <si>
    <t xml:space="preserve">https://x.com/shuuka8739</t>
  </si>
  <si>
    <t xml:space="preserve">2026051102</t>
  </si>
  <si>
    <t xml:space="preserve">Nana-aikawa</t>
  </si>
  <si>
    <t xml:space="preserve">https://www.tokyo-crossdress.com/WBlog/2026051102-600.jpg</t>
  </si>
  <si>
    <t xml:space="preserve">https://x.com/SerufuG</t>
  </si>
  <si>
    <t xml:space="preserve">2026051101</t>
  </si>
  <si>
    <t xml:space="preserve">にこちゃん</t>
  </si>
  <si>
    <t xml:space="preserve">https://www.tokyo-crossdress.com/WBlog/2026051101-600.jpg</t>
  </si>
  <si>
    <t xml:space="preserve">https://x.com/nikocyanx</t>
  </si>
  <si>
    <t xml:space="preserve">2026050702</t>
  </si>
  <si>
    <t xml:space="preserve">𝓝𝓸𝓪𝓷</t>
  </si>
  <si>
    <t xml:space="preserve">https://www.tokyo-crossdress.com/WBlog/2026050702-600.jpg</t>
  </si>
  <si>
    <t xml:space="preserve">https://x.com/A_Know_N</t>
  </si>
  <si>
    <t xml:space="preserve">2026050701</t>
  </si>
  <si>
    <t xml:space="preserve">いちか</t>
  </si>
  <si>
    <t xml:space="preserve">https://www.tokyo-crossdress.com/WBlog/2026050701-600.jpg</t>
  </si>
  <si>
    <t xml:space="preserve">https://x.com/mizumizu656</t>
  </si>
  <si>
    <t xml:space="preserve">2026021301</t>
  </si>
  <si>
    <t xml:space="preserve">のりちゃん</t>
  </si>
  <si>
    <t xml:space="preserve">https://www.tokyo-crossdress.com/WBlog/2026021301-600.jpg</t>
  </si>
  <si>
    <t xml:space="preserve">https://x.com/vKQT9QP6e521151</t>
  </si>
  <si>
    <t xml:space="preserve">2025111502</t>
  </si>
  <si>
    <t xml:space="preserve">なると</t>
  </si>
  <si>
    <t xml:space="preserve">https://www.tokyo-crossdress.com/WBlog/2025111502-600.jpg</t>
  </si>
  <si>
    <t xml:space="preserve">https://x.com/nrt0417</t>
  </si>
  <si>
    <t xml:space="preserve">2025111501</t>
  </si>
  <si>
    <t xml:space="preserve">心乃音あき</t>
  </si>
  <si>
    <t xml:space="preserve">https://www.tokyo-crossdress.com/WBlog/2025111501-600.jpg</t>
  </si>
  <si>
    <t xml:space="preserve">https://x.com/aki_peace_21</t>
  </si>
  <si>
    <t xml:space="preserve">2025102801</t>
  </si>
  <si>
    <t xml:space="preserve">ぽち</t>
  </si>
  <si>
    <t xml:space="preserve">https://www.tokyo-crossdress.com/WBlog/2025102801-600.jpg</t>
  </si>
  <si>
    <t xml:space="preserve">https://x.com/pochizyosoko</t>
  </si>
  <si>
    <t xml:space="preserve">https://www.instagram.com/pochizyosoko</t>
  </si>
  <si>
    <t xml:space="preserve">2025101801</t>
  </si>
  <si>
    <t xml:space="preserve">凪沙</t>
  </si>
  <si>
    <t xml:space="preserve">https://www.tokyo-crossdress.com/WBlog/2025101801-600.jpg</t>
  </si>
  <si>
    <t xml:space="preserve">https://x.com/nagisa0910sv</t>
  </si>
  <si>
    <t xml:space="preserve">2025101001</t>
  </si>
  <si>
    <t xml:space="preserve">なじゅ</t>
  </si>
  <si>
    <t xml:space="preserve">https://www.tokyo-crossdress.com/WBlog/2025101001-600.jpg</t>
  </si>
  <si>
    <t xml:space="preserve">https://x.com/Najyu_momo</t>
  </si>
  <si>
    <t xml:space="preserve">2025071401</t>
  </si>
  <si>
    <t xml:space="preserve">霜月みぞれ</t>
  </si>
  <si>
    <t xml:space="preserve">https://www.tokyo-crossdress.com/WBlog/2025071401-600.jpg</t>
  </si>
  <si>
    <t xml:space="preserve">https://x.com/mizoresurisuri</t>
  </si>
  <si>
    <t xml:space="preserve">2025071301</t>
  </si>
  <si>
    <t xml:space="preserve">いつき</t>
  </si>
  <si>
    <t xml:space="preserve">https://www.tokyo-crossdress.com/WBlog/2025071301-600.jpg</t>
  </si>
  <si>
    <t xml:space="preserve">https://x.com/itukitencha</t>
  </si>
  <si>
    <t xml:space="preserve">2025062701</t>
  </si>
  <si>
    <t xml:space="preserve">柊みお</t>
  </si>
  <si>
    <t xml:space="preserve">https://www.tokyo-crossdress.com/WBlog/2025062701-600.jpg</t>
  </si>
  <si>
    <t xml:space="preserve">https://x.com/mio3_4869</t>
  </si>
  <si>
    <t xml:space="preserve">2025062301</t>
  </si>
  <si>
    <t xml:space="preserve">れいな</t>
  </si>
  <si>
    <t xml:space="preserve">https://www.tokyo-crossdress.com/WBlog/2025062301-600.jpg</t>
  </si>
  <si>
    <t xml:space="preserve">https://x.com/reynyan_prv</t>
  </si>
  <si>
    <t xml:space="preserve">2025042701</t>
  </si>
  <si>
    <t xml:space="preserve">ちや</t>
  </si>
  <si>
    <t xml:space="preserve">https://www.tokyo-crossdress.com/WBlog/2025042701-600.jpg</t>
  </si>
  <si>
    <t xml:space="preserve">https://x.com/chiya_Jsds73134</t>
  </si>
  <si>
    <t xml:space="preserve">2025042601</t>
  </si>
  <si>
    <t xml:space="preserve">あの子</t>
  </si>
  <si>
    <t xml:space="preserve">https://www.tokyo-crossdress.com/WBlog/2025042601-600.jpg</t>
  </si>
  <si>
    <t xml:space="preserve">https://x.com/anoko2020</t>
  </si>
  <si>
    <t xml:space="preserve">2025041801</t>
  </si>
  <si>
    <t xml:space="preserve">りいさ</t>
  </si>
  <si>
    <t xml:space="preserve">https://www.tokyo-crossdress.com/WBlog/2025041801-600.jpg</t>
  </si>
  <si>
    <t xml:space="preserve">https://x.com/r11sa04</t>
  </si>
  <si>
    <t xml:space="preserve">2025041101</t>
  </si>
  <si>
    <t xml:space="preserve">SAKI</t>
  </si>
  <si>
    <t xml:space="preserve">https://www.tokyo-crossdress.com/WBlog/2025041101-600.jpg</t>
  </si>
  <si>
    <t xml:space="preserve">https://x.com/saki225_ss</t>
  </si>
  <si>
    <t xml:space="preserve">2025031801</t>
  </si>
  <si>
    <t xml:space="preserve">鶴羽しいな</t>
  </si>
  <si>
    <t xml:space="preserve">https://www.tokyo-crossdress.com/WBlog/2025031801-600.jpg</t>
  </si>
  <si>
    <t xml:space="preserve">https://x.com/Siina_saikyou</t>
  </si>
  <si>
    <t xml:space="preserve">2025031701</t>
  </si>
  <si>
    <t xml:space="preserve">さーや</t>
  </si>
  <si>
    <t xml:space="preserve">https://www.tokyo-crossdress.com/WBlog/2025031701-600.jpg</t>
  </si>
  <si>
    <t xml:space="preserve">https://x.com/saya_198803</t>
  </si>
  <si>
    <t xml:space="preserve">2025031601</t>
  </si>
  <si>
    <t xml:space="preserve">りこるん</t>
  </si>
  <si>
    <t xml:space="preserve">https://www.tokyo-crossdress.com/WBlog/2025031601-600.jpg</t>
  </si>
  <si>
    <t xml:space="preserve">https://x.com/rikooodayo</t>
  </si>
  <si>
    <t xml:space="preserve">2025030301</t>
  </si>
  <si>
    <t xml:space="preserve">ゆりか</t>
  </si>
  <si>
    <t xml:space="preserve">https://www.tokyo-crossdress.com/WBlog/2025030301-600.jpg</t>
  </si>
  <si>
    <t xml:space="preserve">https://x.com/yurika_yuripon</t>
  </si>
  <si>
    <t xml:space="preserve">2025020801</t>
  </si>
  <si>
    <t xml:space="preserve">つぅ</t>
  </si>
  <si>
    <t xml:space="preserve">https://www.tokyo-crossdress.com/WBlog/2025020801-600.jpg</t>
  </si>
  <si>
    <t xml:space="preserve">https://x.com/Chubaki_nyan</t>
  </si>
  <si>
    <t xml:space="preserve">2024111201</t>
  </si>
  <si>
    <t xml:space="preserve">ことね</t>
  </si>
  <si>
    <t xml:space="preserve">https://www.tokyo-crossdress.com/WBlog/2024111201-600.jpg</t>
  </si>
  <si>
    <t xml:space="preserve">https://x.com/888_cotone</t>
  </si>
  <si>
    <t xml:space="preserve">2024100502</t>
  </si>
  <si>
    <t xml:space="preserve">みな</t>
  </si>
  <si>
    <t xml:space="preserve">https://www.tokyo-crossdress.com/WBlog/2024100502-600.jpg</t>
  </si>
  <si>
    <t xml:space="preserve">https://x.com/mina_challenge</t>
  </si>
  <si>
    <t xml:space="preserve">2024100501</t>
  </si>
  <si>
    <t xml:space="preserve">イオ</t>
  </si>
  <si>
    <t xml:space="preserve">https://www.tokyo-crossdress.com/WBlog/2024100501-600.jpg</t>
  </si>
  <si>
    <t xml:space="preserve">https://x.com/ioyt227</t>
  </si>
  <si>
    <t xml:space="preserve">2024090301</t>
  </si>
  <si>
    <t xml:space="preserve">ゆぴちゃむ</t>
  </si>
  <si>
    <t xml:space="preserve">https://www.tokyo-crossdress.com/WBlog/2024090301-600.jpg</t>
  </si>
  <si>
    <t xml:space="preserve">https://x.com/chamyupi</t>
  </si>
  <si>
    <t xml:space="preserve">2024080601</t>
  </si>
  <si>
    <t xml:space="preserve">ちさと</t>
  </si>
  <si>
    <t xml:space="preserve">https://www.tokyo-crossdress.com/WBlog/2024080601-600.jpg</t>
  </si>
  <si>
    <t xml:space="preserve">https://x.com/ch1_sa10_</t>
  </si>
  <si>
    <t xml:space="preserve">2024071901</t>
  </si>
  <si>
    <t xml:space="preserve">れおとん</t>
  </si>
  <si>
    <t xml:space="preserve">https://www.tokyo-crossdress.com/WBlog/2024071901-600.jpg</t>
  </si>
  <si>
    <t xml:space="preserve">https://x.com/reo_tonton</t>
  </si>
  <si>
    <t xml:space="preserve">2024071202</t>
  </si>
  <si>
    <t xml:space="preserve">はのです。</t>
  </si>
  <si>
    <t xml:space="preserve">https://www.tokyo-crossdress.com/WBlog/2024071202-600.jpg</t>
  </si>
  <si>
    <t xml:space="preserve">https://x.com/desu_hano</t>
  </si>
  <si>
    <t xml:space="preserve">2024071201</t>
  </si>
  <si>
    <t xml:space="preserve">みやび</t>
  </si>
  <si>
    <t xml:space="preserve">https://www.tokyo-crossdress.com/WBlog/2024071201-600.jpg</t>
  </si>
  <si>
    <t xml:space="preserve">https://x.com/my8bi</t>
  </si>
  <si>
    <t xml:space="preserve">2024062301</t>
  </si>
  <si>
    <t xml:space="preserve">れいぽこ</t>
  </si>
  <si>
    <t xml:space="preserve">https://www.tokyo-crossdress.com/WBlog/2024062301-600.jpg</t>
  </si>
  <si>
    <t xml:space="preserve">https://x.com/rei_reibooo</t>
  </si>
  <si>
    <t xml:space="preserve">2024053102</t>
  </si>
  <si>
    <t xml:space="preserve">https://www.tokyo-crossdress.com/WBlog/2024053102-600.jpg</t>
  </si>
  <si>
    <t xml:space="preserve">https://x.com/yuka_Moncheri</t>
  </si>
  <si>
    <t xml:space="preserve">2024051701</t>
  </si>
  <si>
    <t xml:space="preserve">YUKI</t>
  </si>
  <si>
    <t xml:space="preserve">https://www.tokyo-crossdress.com/WBlog/2024051701-600.jpg</t>
  </si>
  <si>
    <t xml:space="preserve">https://x.com/1837_YUKI</t>
  </si>
  <si>
    <t xml:space="preserve">2024050603</t>
  </si>
  <si>
    <t xml:space="preserve">かざね</t>
  </si>
  <si>
    <t xml:space="preserve">https://www.tokyo-crossdress.com/WBlog/2024050603-600.jpg</t>
  </si>
  <si>
    <t xml:space="preserve">https://twitter.com/kazane__chan</t>
  </si>
  <si>
    <t xml:space="preserve">2024050501</t>
  </si>
  <si>
    <t xml:space="preserve">りな</t>
  </si>
  <si>
    <t xml:space="preserve">https://www.tokyo-crossdress.com/WBlog/2024050501-600.jpg</t>
  </si>
  <si>
    <t xml:space="preserve">https://twitter.com/rina_oO0320</t>
  </si>
  <si>
    <t xml:space="preserve">2024050301</t>
  </si>
  <si>
    <t xml:space="preserve">Meimei</t>
  </si>
  <si>
    <t xml:space="preserve">https://www.tokyo-crossdress.com/WBlog/2024050301-600.jpg</t>
  </si>
  <si>
    <t xml:space="preserve">https://twitter.com/yu_meimei2424</t>
  </si>
  <si>
    <t xml:space="preserve">2024042201</t>
  </si>
  <si>
    <t xml:space="preserve">けーし</t>
  </si>
  <si>
    <t xml:space="preserve">https://www.tokyo-crossdress.com/WBlog/2024042201-600.jpg</t>
  </si>
  <si>
    <t xml:space="preserve">https://twitter.com/josoko792019</t>
  </si>
  <si>
    <t xml:space="preserve">2024041203</t>
  </si>
  <si>
    <t xml:space="preserve">秋本有里</t>
  </si>
  <si>
    <t xml:space="preserve">https://www.tokyo-crossdress.com/WBlog/2024041203-600.jpg</t>
  </si>
  <si>
    <t xml:space="preserve">https://twitter.com/lNFPSRrriqjyuYA</t>
  </si>
  <si>
    <t xml:space="preserve">2024041202</t>
  </si>
  <si>
    <t xml:space="preserve">かな</t>
  </si>
  <si>
    <t xml:space="preserve">https://www.tokyo-crossdress.com/WBlog/2024041202-600.jpg</t>
  </si>
  <si>
    <t xml:space="preserve">https://twitter.com/kana_josou2001</t>
  </si>
  <si>
    <t xml:space="preserve">2024040502</t>
  </si>
  <si>
    <t xml:space="preserve">まーちゃん</t>
  </si>
  <si>
    <t xml:space="preserve">https://www.tokyo-crossdress.com/WBlog/2024040502-600.jpg</t>
  </si>
  <si>
    <t xml:space="preserve">https://twitter.com/mako_nyc1</t>
  </si>
  <si>
    <t xml:space="preserve">2024040501</t>
  </si>
  <si>
    <t xml:space="preserve">ゅう</t>
  </si>
  <si>
    <t xml:space="preserve">https://www.tokyo-crossdress.com/WBlog/2024040501-600.jpg</t>
  </si>
  <si>
    <t xml:space="preserve">https://twitter.com/yuu_s2122035</t>
  </si>
  <si>
    <t xml:space="preserve">2024031802</t>
  </si>
  <si>
    <t xml:space="preserve">S∀aYA</t>
  </si>
  <si>
    <t xml:space="preserve">https://www.tokyo-crossdress.com/WBlog/2024031802-600.jpg</t>
  </si>
  <si>
    <t xml:space="preserve">https://twitter.com/saayacrossdress</t>
  </si>
  <si>
    <t xml:space="preserve">2024031001</t>
  </si>
  <si>
    <t xml:space="preserve">Shiho</t>
  </si>
  <si>
    <t xml:space="preserve">https://www.tokyo-crossdress.com/WBlog/2024031001-600.jpg</t>
  </si>
  <si>
    <t xml:space="preserve">https://twitter.com/BakemonoGay</t>
  </si>
  <si>
    <t xml:space="preserve">2024030401</t>
  </si>
  <si>
    <t xml:space="preserve">月弥</t>
  </si>
  <si>
    <t xml:space="preserve">https://www.tokyo-crossdress.com/WBlog/2024030401-600.jpg</t>
  </si>
  <si>
    <t xml:space="preserve">https://twitter.com/293_moonlight</t>
  </si>
  <si>
    <t xml:space="preserve">2024022302</t>
  </si>
  <si>
    <t xml:space="preserve">きくり</t>
  </si>
  <si>
    <t xml:space="preserve">https://www.tokyo-crossdress.com/WBlog/2024022302-600.jpg</t>
  </si>
  <si>
    <t xml:space="preserve">https://twitter.com/erumoapiko320</t>
  </si>
  <si>
    <t xml:space="preserve">2024021701</t>
  </si>
  <si>
    <t xml:space="preserve">厳島</t>
  </si>
  <si>
    <t xml:space="preserve">https://www.tokyo-crossdress.com/WBlog/2024021701-600.jpg</t>
  </si>
  <si>
    <t xml:space="preserve">https://twitter.com/m_itsukushima</t>
  </si>
  <si>
    <t xml:space="preserve">2024021602</t>
  </si>
  <si>
    <t xml:space="preserve">天美あすか</t>
  </si>
  <si>
    <t xml:space="preserve">https://www.tokyo-crossdress.com/WBlog/2024021602-600.jpg</t>
  </si>
  <si>
    <t xml:space="preserve">https://twitter.com/Asucos15</t>
  </si>
  <si>
    <t xml:space="preserve">2024021601</t>
  </si>
  <si>
    <t xml:space="preserve">さくや</t>
  </si>
  <si>
    <t xml:space="preserve">https://www.tokyo-crossdress.com/WBlog/2024021601-600.jpg</t>
  </si>
  <si>
    <t xml:space="preserve">https://twitter.com/sakumyon_2</t>
  </si>
  <si>
    <t xml:space="preserve">2024012602</t>
  </si>
  <si>
    <t xml:space="preserve">あいう</t>
  </si>
  <si>
    <t xml:space="preserve">https://www.tokyo-crossdress.com/WBlog/2024012602-600.jpg</t>
  </si>
  <si>
    <t xml:space="preserve">https://twitter.com/aiu22110213</t>
  </si>
  <si>
    <t xml:space="preserve">2024012003</t>
  </si>
  <si>
    <t xml:space="preserve">ぱる</t>
  </si>
  <si>
    <t xml:space="preserve">https://www.tokyo-crossdress.com/WBlog/2024012003-600.jpg</t>
  </si>
  <si>
    <t xml:space="preserve">https://twitter.com/paruvati_breath</t>
  </si>
  <si>
    <t xml:space="preserve">2024012002</t>
  </si>
  <si>
    <t xml:space="preserve">あかね</t>
  </si>
  <si>
    <t xml:space="preserve">https://www.tokyo-crossdress.com/WBlog/2024012002-600.jpg</t>
  </si>
  <si>
    <t xml:space="preserve">https://twitter.com/akane_joso</t>
  </si>
  <si>
    <t xml:space="preserve">2024012001</t>
  </si>
  <si>
    <t xml:space="preserve">ちふれぼーい</t>
  </si>
  <si>
    <t xml:space="preserve">https://www.tokyo-crossdress.com/WBlog/2024012001-600.jpg</t>
  </si>
  <si>
    <t xml:space="preserve">https://twitter.com/Rr2W9</t>
  </si>
  <si>
    <t xml:space="preserve">2024011201</t>
  </si>
  <si>
    <t xml:space="preserve">りと</t>
  </si>
  <si>
    <t xml:space="preserve">https://www.tokyo-crossdress.com/WBlog/2024011201-600.jpg</t>
  </si>
  <si>
    <t xml:space="preserve">https://twitter.com/Rito_makeup</t>
  </si>
  <si>
    <t xml:space="preserve">2023122201</t>
  </si>
  <si>
    <t xml:space="preserve">なぎさ</t>
  </si>
  <si>
    <t xml:space="preserve">https://www.tokyo-crossdress.com/WBlog/2023122201-600.jpg</t>
  </si>
  <si>
    <t xml:space="preserve">https://twitter.com/nagidayo2000</t>
  </si>
  <si>
    <t xml:space="preserve">2023121701</t>
  </si>
  <si>
    <t xml:space="preserve">りこ</t>
  </si>
  <si>
    <t xml:space="preserve">https://www.tokyo-crossdress.com/WBlog/2023121701-600.jpg</t>
  </si>
  <si>
    <t xml:space="preserve">https://twitter.com/RikoAyatsuji</t>
  </si>
  <si>
    <t xml:space="preserve">2023121501</t>
  </si>
  <si>
    <t xml:space="preserve">骨砕きの</t>
  </si>
  <si>
    <t xml:space="preserve">https://www.tokyo-crossdress.com/WBlog/2023121501-600.jpg</t>
  </si>
  <si>
    <t xml:space="preserve">https://twitter.com/honekudakino</t>
  </si>
  <si>
    <t xml:space="preserve">2023120301</t>
  </si>
  <si>
    <t xml:space="preserve">瑞樹かのん</t>
  </si>
  <si>
    <t xml:space="preserve">https://www.tokyo-crossdress.com/WBlog/2023120301-600.jpg</t>
  </si>
  <si>
    <t xml:space="preserve">https://twitter.com/canon_mizuki</t>
  </si>
  <si>
    <t xml:space="preserve">2023112103</t>
  </si>
  <si>
    <t xml:space="preserve">ちたんたん</t>
  </si>
  <si>
    <t xml:space="preserve">https://www.tokyo-crossdress.com/WBlog/2023112103-600.jpg</t>
  </si>
  <si>
    <t xml:space="preserve">https://twitter.com/chitan_oficial</t>
  </si>
  <si>
    <t xml:space="preserve">2023112102</t>
  </si>
  <si>
    <t xml:space="preserve">黒咲えんべえ</t>
  </si>
  <si>
    <t xml:space="preserve">https://www.tokyo-crossdress.com/WBlog/2023112102-600.jpg</t>
  </si>
  <si>
    <t xml:space="preserve">https://twitter.com/hanamatinoen4</t>
  </si>
  <si>
    <t xml:space="preserve">2023112101</t>
  </si>
  <si>
    <t xml:space="preserve">柊 肇</t>
  </si>
  <si>
    <t xml:space="preserve">https://www.tokyo-crossdress.com/WBlog/2023112101-600.jpg</t>
  </si>
  <si>
    <t xml:space="preserve">https://twitter.com/hajime_june</t>
  </si>
  <si>
    <t xml:space="preserve">2023112001</t>
  </si>
  <si>
    <t xml:space="preserve">みお</t>
  </si>
  <si>
    <t xml:space="preserve">https://www.tokyo-crossdress.com/WBlog/2023112001-600.jpg</t>
  </si>
  <si>
    <t xml:space="preserve">https://twitter.com/mio_otokono_ko</t>
  </si>
  <si>
    <t xml:space="preserve">2023111901</t>
  </si>
  <si>
    <t xml:space="preserve">朝美美琴</t>
  </si>
  <si>
    <t xml:space="preserve">https://www.tokyo-crossdress.com/WBlog/2023111901-600.jpg</t>
  </si>
  <si>
    <t xml:space="preserve">https://twitter.com/AsamiMikotochan</t>
  </si>
  <si>
    <t xml:space="preserve">2023110401</t>
  </si>
  <si>
    <t xml:space="preserve">しずく</t>
  </si>
  <si>
    <t xml:space="preserve">https://www.tokyo-crossdress.com/WBlog/2023110401-600.jpg</t>
  </si>
  <si>
    <t xml:space="preserve">https://twitter.com/shizuku_3333</t>
  </si>
  <si>
    <t xml:space="preserve">2023102703</t>
  </si>
  <si>
    <t xml:space="preserve">西見ゆずき</t>
  </si>
  <si>
    <t xml:space="preserve">https://www.tokyo-crossdress.com/WBlog/2023102703-600.jpg</t>
  </si>
  <si>
    <t xml:space="preserve">https://twitter.com/Libeyuduki</t>
  </si>
  <si>
    <t xml:space="preserve">2023102701</t>
  </si>
  <si>
    <t xml:space="preserve">ちゃんみお!!</t>
  </si>
  <si>
    <t xml:space="preserve">https://www.tokyo-crossdress.com/WBlog/2023102701-600.jpg</t>
  </si>
  <si>
    <t xml:space="preserve">https://twitter.com/Ling_tosite_GDB</t>
  </si>
  <si>
    <t xml:space="preserve">2023102001</t>
  </si>
  <si>
    <t xml:space="preserve">https://www.tokyo-crossdress.com/WBlog/2023102001-600.jpg</t>
  </si>
  <si>
    <t xml:space="preserve">https://twitter.com/rina3206151</t>
  </si>
  <si>
    <t xml:space="preserve">2023101701</t>
  </si>
  <si>
    <t xml:space="preserve">しぃ</t>
  </si>
  <si>
    <t xml:space="preserve">https://www.tokyo-crossdress.com/WBlog/2023101701-600.jpg</t>
  </si>
  <si>
    <t xml:space="preserve">https://twitter.com/SiI4_1122</t>
  </si>
  <si>
    <t xml:space="preserve">2023101601</t>
  </si>
  <si>
    <t xml:space="preserve">なとぅ</t>
  </si>
  <si>
    <t xml:space="preserve">https://www.tokyo-crossdress.com/WBlog/2023101601-600.jpg</t>
  </si>
  <si>
    <t xml:space="preserve">https://twitter.com/naxtu_01</t>
  </si>
  <si>
    <t xml:space="preserve">2023101502</t>
  </si>
  <si>
    <t xml:space="preserve">宮本</t>
  </si>
  <si>
    <t xml:space="preserve">https://www.tokyo-crossdress.com/WBlog/2023101502-600.jpg</t>
  </si>
  <si>
    <t xml:space="preserve">https://twitter.com/kyomu_udon</t>
  </si>
  <si>
    <t xml:space="preserve">2023101501</t>
  </si>
  <si>
    <t xml:space="preserve">ななせ</t>
  </si>
  <si>
    <t xml:space="preserve">https://www.tokyo-crossdress.com/WBlog/2023101501-600.jpg</t>
  </si>
  <si>
    <t xml:space="preserve">https://twitter.com/lylLie4FiB2Ia3I</t>
  </si>
  <si>
    <t xml:space="preserve">2023100701</t>
  </si>
  <si>
    <t xml:space="preserve">ゆかの</t>
  </si>
  <si>
    <t xml:space="preserve">https://www.tokyo-crossdress.com/WBlog/2023100701-600.jpg</t>
  </si>
  <si>
    <t xml:space="preserve">https://twitter.com/yukano83</t>
  </si>
  <si>
    <t xml:space="preserve">2023091701</t>
  </si>
  <si>
    <t xml:space="preserve">さぁら</t>
  </si>
  <si>
    <t xml:space="preserve">https://www.tokyo-crossdress.com/WBlog/2023091701-600.jpg</t>
  </si>
  <si>
    <t xml:space="preserve">https://twitter.com/vrt5h1</t>
  </si>
  <si>
    <t xml:space="preserve">2023081801</t>
  </si>
  <si>
    <t xml:space="preserve">りおん</t>
  </si>
  <si>
    <t xml:space="preserve">https://www.tokyo-crossdress.com/WBlog/2023081801-600.jpg</t>
  </si>
  <si>
    <t xml:space="preserve">https://twitter.com/96nekoGirutyi</t>
  </si>
  <si>
    <t xml:space="preserve">2023060901</t>
  </si>
  <si>
    <t xml:space="preserve">ルナ</t>
  </si>
  <si>
    <t xml:space="preserve">https://www.tokyo-crossdress.com/WBlog/2023060901-600.jpg</t>
  </si>
  <si>
    <t xml:space="preserve">https://twitter.com/runa_600RR</t>
  </si>
  <si>
    <t xml:space="preserve">2023060502</t>
  </si>
  <si>
    <t xml:space="preserve">かなぽん</t>
  </si>
  <si>
    <t xml:space="preserve">https://www.tokyo-crossdress.com/WBlog/2023060502-600.jpg</t>
  </si>
  <si>
    <t xml:space="preserve">https://twitter.com/kanaxpon</t>
  </si>
  <si>
    <t xml:space="preserve">2023060501</t>
  </si>
  <si>
    <t xml:space="preserve">美琴</t>
  </si>
  <si>
    <t xml:space="preserve">https://www.tokyo-crossdress.com/WBlog/2023060501-600.jpg</t>
  </si>
  <si>
    <t xml:space="preserve">https://twitter.com/mikoteyan1022</t>
  </si>
  <si>
    <t xml:space="preserve">2023060101</t>
  </si>
  <si>
    <t xml:space="preserve">ゆっきーな</t>
  </si>
  <si>
    <t xml:space="preserve">https://www.tokyo-crossdress.com/WBlog/2023060101-600.jpg</t>
  </si>
  <si>
    <t xml:space="preserve">https://twitter.com/2023_yukina</t>
  </si>
  <si>
    <t xml:space="preserve">2023051203</t>
  </si>
  <si>
    <t xml:space="preserve">ことりあそび</t>
  </si>
  <si>
    <t xml:space="preserve">https://www.tokyo-crossdress.com/WBlog/2023051203-600.jpg</t>
  </si>
  <si>
    <t xml:space="preserve">https://twitter.com/0_kotori_asobi</t>
  </si>
  <si>
    <t xml:space="preserve">2023051202</t>
  </si>
  <si>
    <t xml:space="preserve">かのん</t>
  </si>
  <si>
    <t xml:space="preserve">https://www.tokyo-crossdress.com/WBlog/2023051202-600.jpg</t>
  </si>
  <si>
    <t xml:space="preserve">https://twitter.com/Ka_Nooon33</t>
  </si>
  <si>
    <t xml:space="preserve">2023051201</t>
  </si>
  <si>
    <t xml:space="preserve">香椎ミク</t>
  </si>
  <si>
    <t xml:space="preserve">https://www.tokyo-crossdress.com/WBlog/2023051201-600.jpg</t>
  </si>
  <si>
    <t xml:space="preserve">https://twitter.com/mikuloveKATY</t>
  </si>
  <si>
    <t xml:space="preserve">2023041401</t>
  </si>
  <si>
    <t xml:space="preserve">HARUHI</t>
  </si>
  <si>
    <t xml:space="preserve">https://www.tokyo-crossdress.com/WBlog/2023041401-600.jpg</t>
  </si>
  <si>
    <t xml:space="preserve">https://twitter.com/haruhi_trans</t>
  </si>
  <si>
    <t xml:space="preserve">2023031701</t>
  </si>
  <si>
    <t xml:space="preserve">ひなきちC</t>
  </si>
  <si>
    <t xml:space="preserve">https://www.tokyo-crossdress.com/WBlog/2023031701-600.jpg</t>
  </si>
  <si>
    <t xml:space="preserve">https://twitter.com/hinahinakichi7</t>
  </si>
  <si>
    <t xml:space="preserve">2023021802</t>
  </si>
  <si>
    <t xml:space="preserve">いゔまる</t>
  </si>
  <si>
    <t xml:space="preserve">https://www.tokyo-crossdress.com/WBlog/2023021802-600.jpg</t>
  </si>
  <si>
    <t xml:space="preserve">https://twitter.com/crossdressereve</t>
  </si>
  <si>
    <t xml:space="preserve">2023021801</t>
  </si>
  <si>
    <t xml:space="preserve">ヒカル</t>
  </si>
  <si>
    <t xml:space="preserve">https://www.tokyo-crossdress.com/WBlog/2023021801-600.jpg</t>
  </si>
  <si>
    <t xml:space="preserve">https://twitter.com/mt88_mercedes</t>
  </si>
  <si>
    <t xml:space="preserve">2023021601</t>
  </si>
  <si>
    <t xml:space="preserve">まろッP</t>
  </si>
  <si>
    <t xml:space="preserve">https://www.tokyo-crossdress.com/WBlog/2023021601-600.jpg</t>
  </si>
  <si>
    <t xml:space="preserve">https://twitter.com/maroppppppppp_</t>
  </si>
  <si>
    <t xml:space="preserve">2023011403</t>
  </si>
  <si>
    <t xml:space="preserve">ろあ</t>
  </si>
  <si>
    <t xml:space="preserve">https://www.tokyo-crossdress.com/WBlog/2023011403-600.jpg</t>
  </si>
  <si>
    <t xml:space="preserve">https://twitter.com/DjD8k</t>
  </si>
  <si>
    <t xml:space="preserve">2023011402</t>
  </si>
  <si>
    <t xml:space="preserve">ゆ</t>
  </si>
  <si>
    <t xml:space="preserve">https://www.tokyo-crossdress.com/WBlog/2023011402-600.jpg</t>
  </si>
  <si>
    <t xml:space="preserve">https://twitter.com/yu_tantan250</t>
  </si>
  <si>
    <t xml:space="preserve">2023011401</t>
  </si>
  <si>
    <t xml:space="preserve">さっち</t>
  </si>
  <si>
    <t xml:space="preserve">https://www.tokyo-crossdress.com/WBlog/2023011401-600.jpg</t>
  </si>
  <si>
    <t xml:space="preserve">https://twitter.com/SatyA_DuhkhA</t>
  </si>
  <si>
    <t xml:space="preserve">2023011302</t>
  </si>
  <si>
    <t xml:space="preserve">さくら</t>
  </si>
  <si>
    <t xml:space="preserve">https://www.tokyo-crossdress.com/WBlog/2023011302-600.jpg</t>
  </si>
  <si>
    <t xml:space="preserve">https://twitter.com/sakurash_cherry</t>
  </si>
  <si>
    <t xml:space="preserve">2023010701</t>
  </si>
  <si>
    <t xml:space="preserve">mii*</t>
  </si>
  <si>
    <t xml:space="preserve">https://www.tokyo-crossdress.com/WBlog/2023010701-600.jpg</t>
  </si>
  <si>
    <t xml:space="preserve">https://twitter.com/mizupon_s2</t>
  </si>
  <si>
    <t xml:space="preserve">2023010502</t>
  </si>
  <si>
    <t xml:space="preserve">さくら96</t>
  </si>
  <si>
    <t xml:space="preserve">https://www.tokyo-crossdress.com/WBlog/2023010502-600.jpg</t>
  </si>
  <si>
    <t xml:space="preserve">https://twitter.com/sakura_96usa</t>
  </si>
  <si>
    <t xml:space="preserve">2023010501</t>
  </si>
  <si>
    <t xml:space="preserve">しおん</t>
  </si>
  <si>
    <t xml:space="preserve">https://www.tokyo-crossdress.com/WBlog/2023010501-600.jpg</t>
  </si>
  <si>
    <t xml:space="preserve">https://twitter.com/shion19841213</t>
  </si>
  <si>
    <t xml:space="preserve">2022120901</t>
  </si>
  <si>
    <t xml:space="preserve">Nanane</t>
  </si>
  <si>
    <t xml:space="preserve">https://www.tokyo-crossdress.com/WBlog/2022120901-600.jpg</t>
  </si>
  <si>
    <t xml:space="preserve">https://twitter.com/nanane_adachi</t>
  </si>
  <si>
    <t xml:space="preserve">2022120601</t>
  </si>
  <si>
    <t xml:space="preserve">https://www.tokyo-crossdress.com/WBlog/2022120601-600.jpg</t>
  </si>
  <si>
    <t xml:space="preserve">https://twitter.com/yua0039</t>
  </si>
  <si>
    <t xml:space="preserve">2022112301</t>
  </si>
  <si>
    <t xml:space="preserve">Re:Na</t>
  </si>
  <si>
    <t xml:space="preserve">https://www.tokyo-crossdress.com/WBlog/2022112301-600.jpg</t>
  </si>
  <si>
    <t xml:space="preserve">https://twitter.com/ReiNa32sub</t>
  </si>
  <si>
    <t xml:space="preserve">2022111601</t>
  </si>
  <si>
    <t xml:space="preserve">桜華ユミ</t>
  </si>
  <si>
    <t xml:space="preserve">https://www.tokyo-crossdress.com/WBlog/2022111601-600.jpg</t>
  </si>
  <si>
    <t xml:space="preserve">https://twitter.com/oukayu0624</t>
  </si>
  <si>
    <t xml:space="preserve">2022111103</t>
  </si>
  <si>
    <t xml:space="preserve">しゅが～</t>
  </si>
  <si>
    <t xml:space="preserve">https://www.tokyo-crossdress.com/WBlog/2022111103-600.jpg</t>
  </si>
  <si>
    <t xml:space="preserve">https://twitter.com/sugar__male</t>
  </si>
  <si>
    <t xml:space="preserve">2022111101</t>
  </si>
  <si>
    <t xml:space="preserve">月陽</t>
  </si>
  <si>
    <t xml:space="preserve">https://www.tokyo-crossdress.com/WBlog/2022111101-600.jpg</t>
  </si>
  <si>
    <t xml:space="preserve">https://twitter.com/new_changeT</t>
  </si>
  <si>
    <t xml:space="preserve">2022111001</t>
  </si>
  <si>
    <t xml:space="preserve">ゆきにゃん</t>
  </si>
  <si>
    <t xml:space="preserve">https://www.tokyo-crossdress.com/WBlog/2022111001-600.jpg</t>
  </si>
  <si>
    <t xml:space="preserve">https://twitter.com/yuki_kopa</t>
  </si>
  <si>
    <t xml:space="preserve">2022101402</t>
  </si>
  <si>
    <t xml:space="preserve">Sae</t>
  </si>
  <si>
    <t xml:space="preserve">https://www.tokyo-crossdress.com/WBlog/2022101402-600.jpg</t>
  </si>
  <si>
    <t xml:space="preserve">https://twitter.com/Ama2saexxx</t>
  </si>
  <si>
    <t xml:space="preserve">2022101401</t>
  </si>
  <si>
    <t xml:space="preserve">時雨</t>
  </si>
  <si>
    <t xml:space="preserve">https://www.tokyo-crossdress.com/WBlog/2022101401-600.jpg</t>
  </si>
  <si>
    <t xml:space="preserve">https://twitter.com/sigure_zyosou</t>
  </si>
  <si>
    <t xml:space="preserve">2022100101</t>
  </si>
  <si>
    <t xml:space="preserve">美華</t>
  </si>
  <si>
    <t xml:space="preserve">https://www.tokyo-crossdress.com/WBlog/2022100101-600.jpg</t>
  </si>
  <si>
    <t xml:space="preserve">https://twitter.com/ux9847sEggvNcx3</t>
  </si>
  <si>
    <t xml:space="preserve">2022092801</t>
  </si>
  <si>
    <t xml:space="preserve">あおりりす</t>
  </si>
  <si>
    <t xml:space="preserve">https://www.tokyo-crossdress.com/WBlog/2022092801-600.jpg</t>
  </si>
  <si>
    <t xml:space="preserve">https://twitter.com/Lilith_Aoi</t>
  </si>
  <si>
    <t xml:space="preserve">2022091501</t>
  </si>
  <si>
    <t xml:space="preserve">千歳</t>
  </si>
  <si>
    <t xml:space="preserve">https://www.tokyo-crossdress.com/WBlog/2022091501-600.jpg</t>
  </si>
  <si>
    <t xml:space="preserve">https://twitter.com/chitose_613fc</t>
  </si>
  <si>
    <t xml:space="preserve">2022091402</t>
  </si>
  <si>
    <t xml:space="preserve">さやか</t>
  </si>
  <si>
    <t xml:space="preserve">https://www.tokyo-crossdress.com/WBlog/2022091402-600.jpg</t>
  </si>
  <si>
    <t xml:space="preserve">https://twitter.com/sayaka_08100810</t>
  </si>
  <si>
    <t xml:space="preserve">2022082001</t>
  </si>
  <si>
    <t xml:space="preserve">つつ</t>
  </si>
  <si>
    <t xml:space="preserve">https://www.tokyo-crossdress.com/WBlog/2022082001-600.jpg</t>
  </si>
  <si>
    <t xml:space="preserve">https://twitter.com/tsu2_2tsu</t>
  </si>
  <si>
    <t xml:space="preserve">2022080303</t>
  </si>
  <si>
    <t xml:space="preserve">あーちゃん</t>
  </si>
  <si>
    <t xml:space="preserve">https://www.tokyo-crossdress.com/WBlog/2022080303-600.jpg</t>
  </si>
  <si>
    <t xml:space="preserve">https://twitter.com/Aoi_Rarqchan</t>
  </si>
  <si>
    <t xml:space="preserve">2022072901</t>
  </si>
  <si>
    <t xml:space="preserve">こいずみゆき</t>
  </si>
  <si>
    <t xml:space="preserve">https://www.tokyo-crossdress.com/WBlog/2022072901-600.jpg</t>
  </si>
  <si>
    <t xml:space="preserve">https://twitter.com/5123yuki_</t>
  </si>
  <si>
    <t xml:space="preserve">2022072803</t>
  </si>
  <si>
    <t xml:space="preserve">ちひろ</t>
  </si>
  <si>
    <t xml:space="preserve">https://www.tokyo-crossdress.com/WBlog/2022072803-600.jpg</t>
  </si>
  <si>
    <t xml:space="preserve">https://twitter.com/chiro201506</t>
  </si>
  <si>
    <t xml:space="preserve">2022072802</t>
  </si>
  <si>
    <t xml:space="preserve">ゐゐ</t>
  </si>
  <si>
    <t xml:space="preserve">https://www.tokyo-crossdress.com/WBlog/2022072802-600.jpg</t>
  </si>
  <si>
    <t xml:space="preserve">https://twitter.com/nunupippi</t>
  </si>
  <si>
    <t xml:space="preserve">2022072001</t>
  </si>
  <si>
    <t xml:space="preserve">あずさくん</t>
  </si>
  <si>
    <t xml:space="preserve">https://www.tokyo-crossdress.com/WBlog/2022072001-600.jpg</t>
  </si>
  <si>
    <t xml:space="preserve">https://twitter.com/azusa_odekake</t>
  </si>
  <si>
    <t xml:space="preserve">2022070701</t>
  </si>
  <si>
    <t xml:space="preserve">ササキマコ</t>
  </si>
  <si>
    <t xml:space="preserve">https://www.tokyo-crossdress.com/WBlog/2022070701-600.jpg</t>
  </si>
  <si>
    <t xml:space="preserve">https://twitter.com/mako190609</t>
  </si>
  <si>
    <t xml:space="preserve">2022062501</t>
  </si>
  <si>
    <t xml:space="preserve">https://www.tokyo-crossdress.com/WBlog/2022062501-600.jpg</t>
  </si>
  <si>
    <t xml:space="preserve">https://twitter.com/SakuraShuwa</t>
  </si>
  <si>
    <t xml:space="preserve">2022062202</t>
  </si>
  <si>
    <r>
      <rPr>
        <sz val="10"/>
        <rFont val="Meiryo"/>
        <family val="3"/>
        <charset val="128"/>
      </rPr>
      <t xml:space="preserve">3XL</t>
    </r>
    <r>
      <rPr>
        <sz val="10"/>
        <rFont val="Noto Sans CJK SC"/>
        <family val="2"/>
      </rPr>
      <t xml:space="preserve">女装</t>
    </r>
  </si>
  <si>
    <t xml:space="preserve">https://www.tokyo-crossdress.com/WBlog/2022062202-600.jpg</t>
  </si>
  <si>
    <t xml:space="preserve">https://twitter.com/pero_pero_you</t>
  </si>
  <si>
    <t xml:space="preserve">2022062201</t>
  </si>
  <si>
    <t xml:space="preserve">MAI</t>
  </si>
  <si>
    <t xml:space="preserve">https://www.tokyo-crossdress.com/WBlog/2022062201-600.jpg</t>
  </si>
  <si>
    <t xml:space="preserve">https://twitter.com/mainya0723</t>
  </si>
  <si>
    <t xml:space="preserve">2022062101</t>
  </si>
  <si>
    <t xml:space="preserve">ｷｬﾛ</t>
  </si>
  <si>
    <t xml:space="preserve">https://www.tokyo-crossdress.com/WBlog/2022062101-600.jpg</t>
  </si>
  <si>
    <t xml:space="preserve">https://twitter.com/atomic_carrot_</t>
  </si>
  <si>
    <t xml:space="preserve">2022060101</t>
  </si>
  <si>
    <t xml:space="preserve">りお</t>
  </si>
  <si>
    <t xml:space="preserve">https://www.tokyo-crossdress.com/WBlog/2022060101-600.jpg</t>
  </si>
  <si>
    <t xml:space="preserve">https://twitter.com/Rio_orrrrr</t>
  </si>
  <si>
    <t xml:space="preserve">2022052401</t>
  </si>
  <si>
    <t xml:space="preserve">えりー</t>
  </si>
  <si>
    <t xml:space="preserve">https://www.tokyo-crossdress.com/WBlog/2022052401-600.jpg</t>
  </si>
  <si>
    <t xml:space="preserve">https://twitter.com/7thkaeru</t>
  </si>
  <si>
    <t xml:space="preserve">2022052101</t>
  </si>
  <si>
    <t xml:space="preserve">俐乃</t>
  </si>
  <si>
    <t xml:space="preserve">https://www.tokyo-crossdress.com/WBlog/2022052101-600.jpg</t>
  </si>
  <si>
    <t xml:space="preserve">https://twitter.com/rino_inc2</t>
  </si>
  <si>
    <t xml:space="preserve">2022051101</t>
  </si>
  <si>
    <t xml:space="preserve">七緒</t>
  </si>
  <si>
    <t xml:space="preserve">https://www.tokyo-crossdress.com/WBlog/2022051101-600.jpg</t>
  </si>
  <si>
    <t xml:space="preserve">https://twitter.com/uroiesat</t>
  </si>
  <si>
    <t xml:space="preserve">2022050501</t>
  </si>
  <si>
    <t xml:space="preserve">つかさ</t>
  </si>
  <si>
    <t xml:space="preserve">https://www.tokyo-crossdress.com/WBlog/2022050501-600.jpg</t>
  </si>
  <si>
    <t xml:space="preserve">https://twitter.com/_tsukasachan</t>
  </si>
  <si>
    <t xml:space="preserve">2022042701</t>
  </si>
  <si>
    <t xml:space="preserve">https://www.tokyo-crossdress.com/WBlog/2022042701-600.jpg</t>
  </si>
  <si>
    <t xml:space="preserve">https://twitter.com/kz55399555</t>
  </si>
  <si>
    <t xml:space="preserve">2022042101</t>
  </si>
  <si>
    <t xml:space="preserve">あゆぽん</t>
  </si>
  <si>
    <t xml:space="preserve">https://www.tokyo-crossdress.com/WBlog/2022042101-600.jpg</t>
  </si>
  <si>
    <t xml:space="preserve">https://twitter.com/ayupon3920</t>
  </si>
  <si>
    <t xml:space="preserve">2022041701</t>
  </si>
  <si>
    <t xml:space="preserve">ぱいん</t>
  </si>
  <si>
    <t xml:space="preserve">https://www.tokyo-crossdress.com/WBlog/2022041701-600.jpg</t>
  </si>
  <si>
    <t xml:space="preserve">https://twitter.com/pine_pcd</t>
  </si>
  <si>
    <t xml:space="preserve">2022033001</t>
  </si>
  <si>
    <t xml:space="preserve">Rin</t>
  </si>
  <si>
    <t xml:space="preserve">https://www.tokyo-crossdress.com/WBlog/2022033001-600.jpg</t>
  </si>
  <si>
    <t xml:space="preserve">https://twitter.com/RinChan_Kisa</t>
  </si>
  <si>
    <t xml:space="preserve">2022032601</t>
  </si>
  <si>
    <t xml:space="preserve">ほむちゃん！</t>
  </si>
  <si>
    <t xml:space="preserve">https://www.tokyo-crossdress.com/WBlog/2022032601-600.jpg</t>
  </si>
  <si>
    <t xml:space="preserve">https://twitter.com/homu_mh</t>
  </si>
  <si>
    <t xml:space="preserve">2022032401</t>
  </si>
  <si>
    <t xml:space="preserve">りょう</t>
  </si>
  <si>
    <t xml:space="preserve">https://www.tokyo-crossdress.com/WBlog/2022032401-600.jpg</t>
  </si>
  <si>
    <t xml:space="preserve">https://twitter.com/riow_greentea</t>
  </si>
  <si>
    <t xml:space="preserve">2022031401</t>
  </si>
  <si>
    <t xml:space="preserve">ごまたん★</t>
  </si>
  <si>
    <t xml:space="preserve">https://www.tokyo-crossdress.com/WBlog/2022031401-600.jpg</t>
  </si>
  <si>
    <t xml:space="preserve">https://twitter.com/gomajoth</t>
  </si>
  <si>
    <t xml:space="preserve">2022030303</t>
  </si>
  <si>
    <t xml:space="preserve">りん。</t>
  </si>
  <si>
    <t xml:space="preserve">https://www.tokyo-crossdress.com/WBlog/2022030303-600.jpg</t>
  </si>
  <si>
    <t xml:space="preserve">https://twitter.com/Rin86317587</t>
  </si>
  <si>
    <t xml:space="preserve">2022022001</t>
  </si>
  <si>
    <t xml:space="preserve">https://www.tokyo-crossdress.com/WBlog/2022022001-600.jpg</t>
  </si>
  <si>
    <t xml:space="preserve">https://twitter.com/otolovetee</t>
  </si>
  <si>
    <t xml:space="preserve">2022020301</t>
  </si>
  <si>
    <t xml:space="preserve">衣鈴</t>
  </si>
  <si>
    <t xml:space="preserve">https://www.tokyo-crossdress.com/WBlog/2022020301-600.jpg</t>
  </si>
  <si>
    <t xml:space="preserve">https://twitter.com/isuzu_and</t>
  </si>
  <si>
    <t xml:space="preserve">2022013001</t>
  </si>
  <si>
    <t xml:space="preserve">仇野なつ</t>
  </si>
  <si>
    <t xml:space="preserve">https://www.tokyo-crossdress.com/WBlog/2022013001-600.jpg</t>
  </si>
  <si>
    <t xml:space="preserve">https://twitter.com/imnoroicdmaid</t>
  </si>
  <si>
    <t xml:space="preserve">2022012802</t>
  </si>
  <si>
    <t xml:space="preserve">なぎの</t>
  </si>
  <si>
    <t xml:space="preserve">https://www.tokyo-crossdress.com/WBlog/2022012802-600.jpg</t>
  </si>
  <si>
    <t xml:space="preserve">https://twitter.com/aicachay</t>
  </si>
  <si>
    <t xml:space="preserve">2022012801</t>
  </si>
  <si>
    <t xml:space="preserve">美月</t>
  </si>
  <si>
    <t xml:space="preserve">https://www.tokyo-crossdress.com/WBlog/2022012801-600.jpg</t>
  </si>
  <si>
    <t xml:space="preserve">https://twitter.com/mika_claire_ap</t>
  </si>
  <si>
    <t xml:space="preserve">2022012102</t>
  </si>
  <si>
    <t xml:space="preserve">りた</t>
  </si>
  <si>
    <t xml:space="preserve">https://www.tokyo-crossdress.com/WBlog/2022012102-600.jpg</t>
  </si>
  <si>
    <t xml:space="preserve">https://twitter.com/ri_ta_l0v</t>
  </si>
  <si>
    <t xml:space="preserve">2022012101</t>
  </si>
  <si>
    <t xml:space="preserve">ぴろこ</t>
  </si>
  <si>
    <t xml:space="preserve">https://www.tokyo-crossdress.com/WBlog/2022012101-600.jpg</t>
  </si>
  <si>
    <t xml:space="preserve">https://twitter.com/organic_piloe</t>
  </si>
  <si>
    <t xml:space="preserve">2022010601</t>
  </si>
  <si>
    <t xml:space="preserve">ゆう</t>
  </si>
  <si>
    <t xml:space="preserve">https://www.tokyo-crossdress.com/WBlog/2022010601-600.jpg</t>
  </si>
  <si>
    <t xml:space="preserve">https://twitter.com/yayuyonari</t>
  </si>
  <si>
    <t xml:space="preserve">2022010201</t>
  </si>
  <si>
    <t xml:space="preserve">夕奈</t>
  </si>
  <si>
    <t xml:space="preserve">https://www.tokyo-crossdress.com/WBlog/2022010201-600.jpg</t>
  </si>
  <si>
    <t xml:space="preserve">https://twitter.com/yuuna041400</t>
  </si>
  <si>
    <t xml:space="preserve">2021121901</t>
  </si>
  <si>
    <t xml:space="preserve">なつめ</t>
  </si>
  <si>
    <t xml:space="preserve">https://www.tokyo-crossdress.com/WBlog/2021121901-600.jpg</t>
  </si>
  <si>
    <t xml:space="preserve">https://twitter.com/ayuna0819_ayu</t>
  </si>
  <si>
    <t xml:space="preserve">2021120501</t>
  </si>
  <si>
    <t xml:space="preserve">じゃむぱん</t>
  </si>
  <si>
    <t xml:space="preserve">https://www.tokyo-crossdress.com/WBlog/2021120501-600.jpg</t>
  </si>
  <si>
    <t xml:space="preserve">https://twitter.com/jam_pan_suki</t>
  </si>
  <si>
    <t xml:space="preserve">2021120201</t>
  </si>
  <si>
    <t xml:space="preserve">ななまる</t>
  </si>
  <si>
    <t xml:space="preserve">https://www.tokyo-crossdress.com/WBlog/2021120201-600.jpg</t>
  </si>
  <si>
    <t xml:space="preserve">https://twitter.com/nanacat_7</t>
  </si>
  <si>
    <t xml:space="preserve">2021110302</t>
  </si>
  <si>
    <t xml:space="preserve">美弥</t>
  </si>
  <si>
    <t xml:space="preserve">https://www.tokyo-crossdress.com/WBlog/2021110302-600.jpg</t>
  </si>
  <si>
    <t xml:space="preserve">https://twitter.com/miyameooow1</t>
  </si>
  <si>
    <t xml:space="preserve">2021110301</t>
  </si>
  <si>
    <t xml:space="preserve">みむ</t>
  </si>
  <si>
    <t xml:space="preserve">https://www.tokyo-crossdress.com/WBlog/2021110301-600.jpg</t>
  </si>
  <si>
    <t xml:space="preserve">https://twitter.com/mimujsk</t>
  </si>
  <si>
    <t xml:space="preserve">2021102703</t>
  </si>
  <si>
    <t xml:space="preserve">侑</t>
  </si>
  <si>
    <t xml:space="preserve">https://www.tokyo-crossdress.com/WBlog/2021102703-600.jpg</t>
  </si>
  <si>
    <t xml:space="preserve">https://twitter.com/IZyyy888</t>
  </si>
  <si>
    <t xml:space="preserve">2021102702</t>
  </si>
  <si>
    <t xml:space="preserve">Luna</t>
  </si>
  <si>
    <t xml:space="preserve">https://www.tokyo-crossdress.com/WBlog/2021102702-600.jpg</t>
  </si>
  <si>
    <t xml:space="preserve">https://twitter.com/luna67_cd_ver2</t>
  </si>
  <si>
    <t xml:space="preserve">2021102001</t>
  </si>
  <si>
    <t xml:space="preserve">あかいねこ</t>
  </si>
  <si>
    <t xml:space="preserve">https://www.tokyo-crossdress.com/WBlog/2021102001-600.jpg</t>
  </si>
  <si>
    <t xml:space="preserve">https://twitter.com/neco_perorin</t>
  </si>
  <si>
    <t xml:space="preserve">2021091603</t>
  </si>
  <si>
    <t xml:space="preserve">りり</t>
  </si>
  <si>
    <t xml:space="preserve">https://www.tokyo-crossdress.com/WBlog/2021091603-600.jpg</t>
  </si>
  <si>
    <t xml:space="preserve">https://twitter.com/N2Onw</t>
  </si>
  <si>
    <t xml:space="preserve">2021091601</t>
  </si>
  <si>
    <t xml:space="preserve">兎味KANNNA</t>
  </si>
  <si>
    <t xml:space="preserve">https://www.tokyo-crossdress.com/WBlog/2021091601-600.jpg</t>
  </si>
  <si>
    <t xml:space="preserve">https://twitter.com/kanna7706</t>
  </si>
  <si>
    <t xml:space="preserve">2021091302</t>
  </si>
  <si>
    <t xml:space="preserve">みらち</t>
  </si>
  <si>
    <t xml:space="preserve">https://www.tokyo-crossdress.com/WBlog/2021091302-600.jpg</t>
  </si>
  <si>
    <t xml:space="preserve">https://twitter.com/mirachiiii</t>
  </si>
  <si>
    <t xml:space="preserve">2021091301</t>
  </si>
  <si>
    <t xml:space="preserve">ひろみ</t>
  </si>
  <si>
    <t xml:space="preserve">https://www.tokyo-crossdress.com/WBlog/2021091301-600.jpg</t>
  </si>
  <si>
    <t xml:space="preserve">https://twitter.com/hiromi051709</t>
  </si>
  <si>
    <t xml:space="preserve">2021091103</t>
  </si>
  <si>
    <t xml:space="preserve">さりな</t>
  </si>
  <si>
    <t xml:space="preserve">https://www.tokyo-crossdress.com/WBlog/2021091103-600.jpg</t>
  </si>
  <si>
    <t xml:space="preserve">https://twitter.com/sarisari_sarina</t>
  </si>
  <si>
    <t xml:space="preserve">2021091003</t>
  </si>
  <si>
    <t xml:space="preserve">染井よしの</t>
  </si>
  <si>
    <t xml:space="preserve">https://www.tokyo-crossdress.com/WBlog/2021091003-600.jpg</t>
  </si>
  <si>
    <t xml:space="preserve">https://twitter.com/yoshino202141</t>
  </si>
  <si>
    <t xml:space="preserve">2021090806</t>
  </si>
  <si>
    <t xml:space="preserve">宮代しいな</t>
  </si>
  <si>
    <t xml:space="preserve">https://www.tokyo-crossdress.com/WBlog/2021090806-600.jpg</t>
  </si>
  <si>
    <t xml:space="preserve">https://twitter.com/royalshiina</t>
  </si>
  <si>
    <t xml:space="preserve">2021090805</t>
  </si>
  <si>
    <t xml:space="preserve">けいちむ</t>
  </si>
  <si>
    <t xml:space="preserve">https://www.tokyo-crossdress.com/WBlog/2021090805-600.jpg</t>
  </si>
  <si>
    <t xml:space="preserve">https://twitter.com/lala_keikachimu</t>
  </si>
  <si>
    <t xml:space="preserve">2021090804</t>
  </si>
  <si>
    <t xml:space="preserve">しーちゅん</t>
  </si>
  <si>
    <t xml:space="preserve">https://www.tokyo-crossdress.com/WBlog/2021090804-600.jpg</t>
  </si>
  <si>
    <t xml:space="preserve">https://twitter.com/shechan0120</t>
  </si>
  <si>
    <t xml:space="preserve">2021090803</t>
  </si>
  <si>
    <t xml:space="preserve">しの</t>
  </si>
  <si>
    <t xml:space="preserve">https://www.tokyo-crossdress.com/WBlog/2021090803-600.jpg</t>
  </si>
  <si>
    <t xml:space="preserve">https://twitter.com/Shinoshinobro</t>
  </si>
  <si>
    <t xml:space="preserve">2021090802</t>
  </si>
  <si>
    <t xml:space="preserve">あいりん</t>
  </si>
  <si>
    <t xml:space="preserve">https://www.tokyo-crossdress.com/WBlog/2021090802-600.jpg</t>
  </si>
  <si>
    <t xml:space="preserve">https://twitter.com/oEZOFC5qkqBKwjO</t>
  </si>
  <si>
    <t xml:space="preserve">2021090401</t>
  </si>
  <si>
    <t xml:space="preserve">erica</t>
  </si>
  <si>
    <t xml:space="preserve">https://www.tokyo-crossdress.com/WBlog/2021090401-600.jpg</t>
  </si>
  <si>
    <t xml:space="preserve">https://twitter.com/EricaSm4y</t>
  </si>
  <si>
    <t xml:space="preserve">2021090203</t>
  </si>
  <si>
    <t xml:space="preserve">暁ヒカル</t>
  </si>
  <si>
    <t xml:space="preserve">https://www.tokyo-crossdress.com/WBlog/2021090203-600.jpg</t>
  </si>
  <si>
    <t xml:space="preserve">https://twitter.com/hikaru_skrmnln</t>
  </si>
  <si>
    <t xml:space="preserve">2021090202</t>
  </si>
  <si>
    <t xml:space="preserve">法楽わか</t>
  </si>
  <si>
    <t xml:space="preserve">https://www.tokyo-crossdress.com/WBlog/2021090202-600.jpg</t>
  </si>
  <si>
    <t xml:space="preserve">https://twitter.com/Waca_room</t>
  </si>
  <si>
    <t xml:space="preserve">2021090103</t>
  </si>
  <si>
    <t xml:space="preserve">優</t>
  </si>
  <si>
    <t xml:space="preserve">https://www.tokyo-crossdress.com/WBlog/2021090103-600.jpg</t>
  </si>
  <si>
    <t xml:space="preserve">https://twitter.com/you5569love</t>
  </si>
  <si>
    <t xml:space="preserve">2021082002</t>
  </si>
  <si>
    <t xml:space="preserve">https://www.tokyo-crossdress.com/WBlog/2021082002-600.jpg</t>
  </si>
  <si>
    <t xml:space="preserve">https://twitter.com/yuuyuutere</t>
  </si>
  <si>
    <t xml:space="preserve">2021080401</t>
  </si>
  <si>
    <t xml:space="preserve">クロミくん</t>
  </si>
  <si>
    <t xml:space="preserve">https://www.tokyo-crossdress.com/WBlog/2021080401-600.jpg</t>
  </si>
  <si>
    <t xml:space="preserve">https://twitter.com/kuminomi1010249</t>
  </si>
  <si>
    <t xml:space="preserve">2021072501</t>
  </si>
  <si>
    <t xml:space="preserve">MANAちゃん</t>
  </si>
  <si>
    <t xml:space="preserve">https://www.tokyo-crossdress.com/WBlog/2021072501-600.jpg</t>
  </si>
  <si>
    <t xml:space="preserve">https://twitter.com/MANAmilkypop</t>
  </si>
  <si>
    <t xml:space="preserve">2021072101</t>
  </si>
  <si>
    <t xml:space="preserve">https://www.tokyo-crossdress.com/WBlog/2021072101-600.jpg</t>
  </si>
  <si>
    <t xml:space="preserve">https://twitter.com/paintitblackyou</t>
  </si>
  <si>
    <t xml:space="preserve">2021070202</t>
  </si>
  <si>
    <t xml:space="preserve">かなめ</t>
  </si>
  <si>
    <t xml:space="preserve">https://www.tokyo-crossdress.com/WBlog/2021070202-600.jpg</t>
  </si>
  <si>
    <t xml:space="preserve">https://twitter.com/PosiKana</t>
  </si>
  <si>
    <t xml:space="preserve">2021062301</t>
  </si>
  <si>
    <t xml:space="preserve">あんず</t>
  </si>
  <si>
    <t xml:space="preserve">https://www.tokyo-crossdress.com/WBlog/2021062301-600.jpg</t>
  </si>
  <si>
    <t xml:space="preserve">https://twitter.com/anzu_love_josou</t>
  </si>
  <si>
    <t xml:space="preserve">2021061302</t>
  </si>
  <si>
    <t xml:space="preserve">ありさ</t>
  </si>
  <si>
    <t xml:space="preserve">https://www.tokyo-crossdress.com/WBlog/2021061302-600.jpg</t>
  </si>
  <si>
    <t xml:space="preserve">https://twitter.com/ArisaJoso</t>
  </si>
  <si>
    <t xml:space="preserve">2021051201</t>
  </si>
  <si>
    <t xml:space="preserve">このは</t>
  </si>
  <si>
    <t xml:space="preserve">https://www.tokyo-crossdress.com/WBlog/2021051201-600.jpg</t>
  </si>
  <si>
    <t xml:space="preserve">https://twitter.com/konochan6</t>
  </si>
  <si>
    <t xml:space="preserve">タグ(ここを編集するとドロップダウンに反映)</t>
  </si>
  <si>
    <t xml:space="preserve">説明</t>
  </si>
  <si>
    <t xml:space="preserve">例:雰囲気がかわいい</t>
  </si>
  <si>
    <t xml:space="preserve">例:大人っぽく上品</t>
  </si>
  <si>
    <r>
      <rPr>
        <sz val="10"/>
        <color rgb="FF808080"/>
        <rFont val="Meiryo"/>
        <family val="3"/>
        <charset val="128"/>
      </rPr>
      <t xml:space="preserve">※A2:A21</t>
    </r>
    <r>
      <rPr>
        <sz val="10"/>
        <color rgb="FF808080"/>
        <rFont val="Noto Sans CJK SC"/>
        <family val="2"/>
      </rPr>
      <t xml:space="preserve">の</t>
    </r>
    <r>
      <rPr>
        <sz val="10"/>
        <color rgb="FF808080"/>
        <rFont val="Meiryo"/>
        <family val="3"/>
        <charset val="128"/>
      </rPr>
      <t xml:space="preserve">20</t>
    </r>
    <r>
      <rPr>
        <sz val="10"/>
        <color rgb="FF808080"/>
        <rFont val="Noto Sans CJK SC"/>
        <family val="2"/>
      </rPr>
      <t xml:space="preserve">個まで。表記ゆれ防止のため、タグはここだけで管理します。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</si>
</sst>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  <charset val="1"/>
    </font>
    <font>
      <b val="true"/>
      <sz val="10"/>
      <name val="Meiryo"/>
      <family val="3"/>
      <charset val="128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Meiryo"/>
      <family val="3"/>
      <charset val="128"/>
    </font>
    <font>
      <sz val="10"/>
      <name val="Noto Sans CJK SC"/>
      <family val="2"/>
    </font>
    <font>
      <u val="single"/>
      <sz val="11"/>
      <color theme="10"/>
      <name val="Calibri"/>
      <family val="2"/>
      <charset val="1"/>
    </font>
    <font>
      <sz val="10"/>
      <color rgb="FF0000FF"/>
      <name val="Meiryo"/>
      <family val="3"/>
      <charset val="128"/>
    </font>
    <font>
      <sz val="10"/>
      <name val="FreeSans"/>
      <family val="2"/>
    </font>
    <font>
      <sz val="10"/>
      <name val="Noto Sans CJK SC"/>
      <family val="2"/>
      <charset val="128"/>
    </font>
    <font>
      <sz val="10"/>
      <name val="Arial"/>
      <family val="2"/>
    </font>
    <font>
      <sz val="10"/>
      <color rgb="FF808080"/>
      <name val="Meiryo"/>
      <family val="3"/>
      <charset val="128"/>
    </font>
    <font>
      <sz val="10"/>
      <color rgb="FF80808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F4B6C2"/>
        <bgColor rgb="FFFF99CC"/>
      </patternFill>
    </fill>
    <fill>
      <patternFill patternType="solid">
        <fgColor rgb="FFD9D9D9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4B6C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6C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tokyo-crossdress.com/WBlog/2026090704-600.jpg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4" activeCellId="0" sqref="R4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80"/>
  </cols>
  <sheetData>
    <row r="1" customFormat="false" ht="18" hidden="false" customHeight="true" outlineLevel="0" collapsed="false">
      <c r="A1" s="2" t="s">
        <v>0</v>
      </c>
      <c r="B1" s="3"/>
    </row>
    <row r="2" customFormat="false" ht="16.5" hidden="false" customHeight="true" outlineLevel="0" collapsed="false">
      <c r="A2" s="4" t="s">
        <v>1</v>
      </c>
      <c r="B2" s="5" t="s">
        <v>2</v>
      </c>
    </row>
    <row r="3" customFormat="false" ht="16.5" hidden="false" customHeight="true" outlineLevel="0" collapsed="false">
      <c r="A3" s="4" t="s">
        <v>3</v>
      </c>
      <c r="B3" s="5" t="s">
        <v>4</v>
      </c>
    </row>
    <row r="4" customFormat="false" ht="17.25" hidden="false" customHeight="true" outlineLevel="0" collapsed="false">
      <c r="A4" s="6" t="s">
        <v>5</v>
      </c>
      <c r="B4" s="5" t="s">
        <v>6</v>
      </c>
    </row>
    <row r="5" customFormat="false" ht="17.25" hidden="false" customHeight="true" outlineLevel="0" collapsed="false">
      <c r="A5" s="4" t="s">
        <v>7</v>
      </c>
      <c r="B5" s="5" t="s">
        <v>8</v>
      </c>
    </row>
    <row r="6" customFormat="false" ht="16.5" hidden="false" customHeight="true" outlineLevel="0" collapsed="false">
      <c r="A6" s="4" t="s">
        <v>9</v>
      </c>
      <c r="B6" s="7" t="s">
        <v>10</v>
      </c>
    </row>
    <row r="7" customFormat="false" ht="17.25" hidden="false" customHeight="true" outlineLevel="0" collapsed="false">
      <c r="A7" s="4" t="s">
        <v>11</v>
      </c>
      <c r="B7" s="5" t="s">
        <v>12</v>
      </c>
    </row>
    <row r="8" customFormat="false" ht="16.5" hidden="false" customHeight="true" outlineLevel="0" collapsed="false">
      <c r="A8" s="4" t="s">
        <v>13</v>
      </c>
      <c r="B8" s="7" t="s">
        <v>14</v>
      </c>
    </row>
    <row r="9" customFormat="false" ht="16.5" hidden="false" customHeight="true" outlineLevel="0" collapsed="false">
      <c r="A9" s="4" t="s">
        <v>15</v>
      </c>
      <c r="B9" s="5" t="s">
        <v>16</v>
      </c>
    </row>
    <row r="10" customFormat="false" ht="16.5" hidden="false" customHeight="true" outlineLevel="0" collapsed="false">
      <c r="A10" s="4" t="s">
        <v>17</v>
      </c>
      <c r="B10" s="7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D8" activeCellId="0" sqref="D8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36"/>
    <col collapsed="false" customWidth="true" hidden="false" outlineLevel="0" max="6" min="6" style="1" width="38"/>
    <col collapsed="false" customWidth="true" hidden="false" outlineLevel="0" max="10" min="7" style="1" width="12"/>
    <col collapsed="false" customWidth="true" hidden="false" outlineLevel="0" max="11" min="11" style="1" width="26"/>
    <col collapsed="false" customWidth="true" hidden="false" outlineLevel="0" max="12" min="12" style="1" width="24"/>
  </cols>
  <sheetData>
    <row r="1" customFormat="false" ht="24" hidden="false" customHeight="true" outlineLevel="0" collapsed="false">
      <c r="A1" s="8" t="s">
        <v>5</v>
      </c>
      <c r="B1" s="9" t="s">
        <v>19</v>
      </c>
      <c r="C1" s="10" t="s">
        <v>20</v>
      </c>
      <c r="D1" s="9" t="s">
        <v>11</v>
      </c>
      <c r="E1" s="8" t="s">
        <v>21</v>
      </c>
      <c r="F1" s="8" t="s">
        <v>22</v>
      </c>
      <c r="G1" s="9" t="s">
        <v>23</v>
      </c>
      <c r="H1" s="9" t="s">
        <v>24</v>
      </c>
      <c r="I1" s="9" t="s">
        <v>25</v>
      </c>
      <c r="J1" s="9" t="s">
        <v>26</v>
      </c>
      <c r="K1" s="10" t="s">
        <v>27</v>
      </c>
      <c r="L1" s="9" t="s">
        <v>28</v>
      </c>
    </row>
    <row r="2" customFormat="false" ht="16.5" hidden="false" customHeight="true" outlineLevel="0" collapsed="false">
      <c r="A2" s="11" t="s">
        <v>29</v>
      </c>
      <c r="B2" s="12" t="s">
        <v>30</v>
      </c>
      <c r="C2" s="13" t="n">
        <f aca="false">IF(A2="","",DATE(VALUE(LEFT(A2,4)),VALUE(MID(A2,5,2)),VALUE(MID(A2,7,2))))</f>
        <v>46295</v>
      </c>
      <c r="D2" s="14" t="s">
        <v>31</v>
      </c>
      <c r="E2" s="15" t="s">
        <v>32</v>
      </c>
      <c r="F2" s="12"/>
      <c r="G2" s="16" t="s">
        <v>33</v>
      </c>
      <c r="H2" s="16" t="s">
        <v>34</v>
      </c>
      <c r="I2" s="16" t="s">
        <v>35</v>
      </c>
      <c r="J2" s="16" t="s">
        <v>36</v>
      </c>
      <c r="K2" s="17" t="str">
        <f aca="false">IF(A2="","",_xlfn.TEXTJOIN(",",TRUE(),G2:J2))</f>
        <v>清楚,フェミニン,ガーリー,レトロ</v>
      </c>
      <c r="L2" s="12"/>
    </row>
    <row r="3" customFormat="false" ht="16.5" hidden="false" customHeight="true" outlineLevel="0" collapsed="false">
      <c r="A3" s="11" t="s">
        <v>37</v>
      </c>
      <c r="B3" s="12" t="s">
        <v>38</v>
      </c>
      <c r="C3" s="13" t="n">
        <f aca="false">IF(A3="","",DATE(VALUE(LEFT(A3,4)),VALUE(MID(A3,5,2)),VALUE(MID(A3,7,2))))</f>
        <v>46295</v>
      </c>
      <c r="D3" s="15" t="s">
        <v>39</v>
      </c>
      <c r="E3" s="15" t="s">
        <v>40</v>
      </c>
      <c r="F3" s="12"/>
      <c r="G3" s="16" t="s">
        <v>41</v>
      </c>
      <c r="H3" s="16" t="s">
        <v>34</v>
      </c>
      <c r="I3" s="16" t="s">
        <v>35</v>
      </c>
      <c r="J3" s="16" t="s">
        <v>36</v>
      </c>
      <c r="K3" s="17" t="str">
        <f aca="false">IF(A3="","",_xlfn.TEXTJOIN(",",TRUE(),G3:J3))</f>
        <v>かわいい,フェミニン,ガーリー,レトロ</v>
      </c>
      <c r="L3" s="12"/>
    </row>
    <row r="4" customFormat="false" ht="16.5" hidden="false" customHeight="true" outlineLevel="0" collapsed="false">
      <c r="A4" s="11" t="s">
        <v>42</v>
      </c>
      <c r="B4" s="12" t="s">
        <v>43</v>
      </c>
      <c r="C4" s="13" t="n">
        <f aca="false">IF(A4="","",DATE(VALUE(LEFT(A4,4)),VALUE(MID(A4,5,2)),VALUE(MID(A4,7,2))))</f>
        <v>46286</v>
      </c>
      <c r="D4" s="15" t="s">
        <v>44</v>
      </c>
      <c r="E4" s="15" t="s">
        <v>45</v>
      </c>
      <c r="F4" s="12"/>
      <c r="G4" s="16" t="s">
        <v>41</v>
      </c>
      <c r="H4" s="16" t="s">
        <v>46</v>
      </c>
      <c r="I4" s="16" t="s">
        <v>33</v>
      </c>
      <c r="J4" s="16" t="s">
        <v>47</v>
      </c>
      <c r="K4" s="17" t="str">
        <f aca="false">IF(A4="","",_xlfn.TEXTJOIN(",",TRUE(),G4:J4))</f>
        <v>かわいい,きれいめ,清楚,大人っぽい</v>
      </c>
      <c r="L4" s="12"/>
    </row>
    <row r="5" customFormat="false" ht="16.5" hidden="false" customHeight="true" outlineLevel="0" collapsed="false">
      <c r="A5" s="11" t="s">
        <v>48</v>
      </c>
      <c r="B5" s="12" t="s">
        <v>49</v>
      </c>
      <c r="C5" s="13" t="n">
        <f aca="false">IF(A5="","",DATE(VALUE(LEFT(A5,4)),VALUE(MID(A5,5,2)),VALUE(MID(A5,7,2))))</f>
        <v>46286</v>
      </c>
      <c r="D5" s="15" t="s">
        <v>50</v>
      </c>
      <c r="E5" s="15" t="s">
        <v>51</v>
      </c>
      <c r="F5" s="12"/>
      <c r="G5" s="16" t="s">
        <v>41</v>
      </c>
      <c r="H5" s="16" t="s">
        <v>52</v>
      </c>
      <c r="I5" s="16" t="s">
        <v>53</v>
      </c>
      <c r="J5" s="16" t="s">
        <v>54</v>
      </c>
      <c r="K5" s="17" t="str">
        <f aca="false">IF(A5="","",_xlfn.TEXTJOIN(",",TRUE(),G5:J5))</f>
        <v>かわいい,カジュアル,クール,サブカル</v>
      </c>
      <c r="L5" s="12"/>
    </row>
    <row r="6" customFormat="false" ht="16.5" hidden="false" customHeight="true" outlineLevel="0" collapsed="false">
      <c r="A6" s="11" t="s">
        <v>55</v>
      </c>
      <c r="B6" s="12" t="s">
        <v>56</v>
      </c>
      <c r="C6" s="13" t="n">
        <f aca="false">IF(A6="","",DATE(VALUE(LEFT(A6,4)),VALUE(MID(A6,5,2)),VALUE(MID(A6,7,2))))</f>
        <v>46282</v>
      </c>
      <c r="D6" s="15" t="s">
        <v>57</v>
      </c>
      <c r="E6" s="15" t="s">
        <v>58</v>
      </c>
      <c r="F6" s="12"/>
      <c r="G6" s="16" t="s">
        <v>46</v>
      </c>
      <c r="H6" s="16" t="s">
        <v>47</v>
      </c>
      <c r="I6" s="16" t="s">
        <v>52</v>
      </c>
      <c r="J6" s="16" t="s">
        <v>34</v>
      </c>
      <c r="K6" s="17" t="str">
        <f aca="false">IF(A6="","",_xlfn.TEXTJOIN(",",TRUE(),G6:J6))</f>
        <v>きれいめ,大人っぽい,カジュアル,フェミニン</v>
      </c>
      <c r="L6" s="12"/>
    </row>
    <row r="7" customFormat="false" ht="16.5" hidden="false" customHeight="true" outlineLevel="0" collapsed="false">
      <c r="A7" s="11" t="s">
        <v>59</v>
      </c>
      <c r="B7" s="12" t="s">
        <v>60</v>
      </c>
      <c r="C7" s="13" t="n">
        <f aca="false">IF(A7="","",DATE(VALUE(LEFT(A7,4)),VALUE(MID(A7,5,2)),VALUE(MID(A7,7,2))))</f>
        <v>46282</v>
      </c>
      <c r="D7" s="15" t="s">
        <v>61</v>
      </c>
      <c r="E7" s="15" t="s">
        <v>62</v>
      </c>
      <c r="F7" s="12"/>
      <c r="G7" s="16" t="s">
        <v>41</v>
      </c>
      <c r="H7" s="16" t="s">
        <v>52</v>
      </c>
      <c r="I7" s="16" t="s">
        <v>54</v>
      </c>
      <c r="J7" s="16" t="s">
        <v>52</v>
      </c>
      <c r="K7" s="17" t="str">
        <f aca="false">IF(A7="","",_xlfn.TEXTJOIN(",",TRUE(),G7:J7))</f>
        <v>かわいい,カジュアル,サブカル,カジュアル</v>
      </c>
      <c r="L7" s="12"/>
    </row>
    <row r="8" customFormat="false" ht="16.5" hidden="false" customHeight="true" outlineLevel="0" collapsed="false">
      <c r="A8" s="11" t="s">
        <v>63</v>
      </c>
      <c r="B8" s="12" t="s">
        <v>64</v>
      </c>
      <c r="C8" s="13" t="n">
        <f aca="false">IF(A8="","",DATE(VALUE(LEFT(A8,4)),VALUE(MID(A8,5,2)),VALUE(MID(A8,7,2))))</f>
        <v>46282</v>
      </c>
      <c r="D8" s="15" t="s">
        <v>65</v>
      </c>
      <c r="E8" s="15" t="s">
        <v>66</v>
      </c>
      <c r="F8" s="12"/>
      <c r="G8" s="16" t="s">
        <v>46</v>
      </c>
      <c r="H8" s="16" t="s">
        <v>47</v>
      </c>
      <c r="I8" s="16" t="s">
        <v>67</v>
      </c>
      <c r="J8" s="16" t="s">
        <v>53</v>
      </c>
      <c r="K8" s="17" t="str">
        <f aca="false">IF(A8="","",_xlfn.TEXTJOIN(",",TRUE(),G8:J8))</f>
        <v>きれいめ,大人っぽい,セクシー,クール</v>
      </c>
      <c r="L8" s="12"/>
    </row>
    <row r="9" customFormat="false" ht="16.5" hidden="false" customHeight="true" outlineLevel="0" collapsed="false">
      <c r="A9" s="11" t="s">
        <v>68</v>
      </c>
      <c r="B9" s="12" t="s">
        <v>69</v>
      </c>
      <c r="C9" s="13" t="n">
        <f aca="false">IF(A9="","",DATE(VALUE(LEFT(A9,4)),VALUE(MID(A9,5,2)),VALUE(MID(A9,7,2))))</f>
        <v>46282</v>
      </c>
      <c r="D9" s="15" t="s">
        <v>70</v>
      </c>
      <c r="E9" s="15" t="s">
        <v>71</v>
      </c>
      <c r="F9" s="12"/>
      <c r="G9" s="16" t="s">
        <v>46</v>
      </c>
      <c r="H9" s="16" t="s">
        <v>41</v>
      </c>
      <c r="I9" s="16" t="s">
        <v>67</v>
      </c>
      <c r="J9" s="16" t="s">
        <v>72</v>
      </c>
      <c r="K9" s="17" t="str">
        <f aca="false">IF(A9="","",_xlfn.TEXTJOIN(",",TRUE(),G9:J9))</f>
        <v>きれいめ,かわいい,セクシー,コスプレ</v>
      </c>
      <c r="L9" s="12"/>
    </row>
    <row r="10" customFormat="false" ht="16.5" hidden="false" customHeight="true" outlineLevel="0" collapsed="false">
      <c r="A10" s="11" t="s">
        <v>73</v>
      </c>
      <c r="B10" s="12" t="s">
        <v>74</v>
      </c>
      <c r="C10" s="13" t="n">
        <f aca="false">IF(A10="","",DATE(VALUE(LEFT(A10,4)),VALUE(MID(A10,5,2)),VALUE(MID(A10,7,2))))</f>
        <v>46281</v>
      </c>
      <c r="D10" s="15" t="s">
        <v>75</v>
      </c>
      <c r="E10" s="15" t="s">
        <v>76</v>
      </c>
      <c r="F10" s="12"/>
      <c r="G10" s="16" t="s">
        <v>46</v>
      </c>
      <c r="H10" s="16" t="s">
        <v>77</v>
      </c>
      <c r="I10" s="16" t="s">
        <v>78</v>
      </c>
      <c r="J10" s="16" t="s">
        <v>33</v>
      </c>
      <c r="K10" s="17" t="str">
        <f aca="false">IF(A10="","",_xlfn.TEXTJOIN(",",TRUE(),G10:J10))</f>
        <v>きれいめ,ナチュラル,モード,清楚</v>
      </c>
      <c r="L10" s="12"/>
    </row>
    <row r="11" customFormat="false" ht="16.5" hidden="false" customHeight="true" outlineLevel="0" collapsed="false">
      <c r="A11" s="11" t="s">
        <v>79</v>
      </c>
      <c r="B11" s="12" t="s">
        <v>80</v>
      </c>
      <c r="C11" s="13" t="n">
        <f aca="false">IF(A11="","",DATE(VALUE(LEFT(A11,4)),VALUE(MID(A11,5,2)),VALUE(MID(A11,7,2))))</f>
        <v>46281</v>
      </c>
      <c r="D11" s="15" t="s">
        <v>81</v>
      </c>
      <c r="E11" s="15" t="s">
        <v>82</v>
      </c>
      <c r="F11" s="12"/>
      <c r="G11" s="16" t="s">
        <v>46</v>
      </c>
      <c r="H11" s="16" t="s">
        <v>47</v>
      </c>
      <c r="I11" s="16" t="s">
        <v>67</v>
      </c>
      <c r="J11" s="16" t="s">
        <v>83</v>
      </c>
      <c r="K11" s="17" t="str">
        <f aca="false">IF(A11="","",_xlfn.TEXTJOIN(",",TRUE(),G11:J11))</f>
        <v>きれいめ,大人っぽい,セクシー,和装</v>
      </c>
      <c r="L11" s="12"/>
    </row>
    <row r="12" customFormat="false" ht="16.5" hidden="false" customHeight="true" outlineLevel="0" collapsed="false">
      <c r="A12" s="11" t="s">
        <v>84</v>
      </c>
      <c r="B12" s="12" t="s">
        <v>85</v>
      </c>
      <c r="C12" s="13" t="n">
        <f aca="false">IF(A12="","",DATE(VALUE(LEFT(A12,4)),VALUE(MID(A12,5,2)),VALUE(MID(A12,7,2))))</f>
        <v>46274</v>
      </c>
      <c r="D12" s="15" t="s">
        <v>86</v>
      </c>
      <c r="E12" s="15" t="s">
        <v>87</v>
      </c>
      <c r="F12" s="12"/>
      <c r="G12" s="16" t="s">
        <v>88</v>
      </c>
      <c r="H12" s="16" t="s">
        <v>41</v>
      </c>
      <c r="I12" s="16" t="s">
        <v>52</v>
      </c>
      <c r="J12" s="16" t="s">
        <v>78</v>
      </c>
      <c r="K12" s="17" t="str">
        <f aca="false">IF(A12="","",_xlfn.TEXTJOIN(",",TRUE(),G12:J12))</f>
        <v>ゴス・地雷,かわいい,カジュアル,モード</v>
      </c>
      <c r="L12" s="12"/>
    </row>
    <row r="13" customFormat="false" ht="16.5" hidden="false" customHeight="true" outlineLevel="0" collapsed="false">
      <c r="A13" s="11" t="s">
        <v>89</v>
      </c>
      <c r="B13" s="12" t="s">
        <v>90</v>
      </c>
      <c r="C13" s="13" t="n">
        <f aca="false">IF(A13="","",DATE(VALUE(LEFT(A13,4)),VALUE(MID(A13,5,2)),VALUE(MID(A13,7,2))))</f>
        <v>46274</v>
      </c>
      <c r="D13" s="15" t="s">
        <v>91</v>
      </c>
      <c r="E13" s="15" t="s">
        <v>92</v>
      </c>
      <c r="F13" s="12"/>
      <c r="G13" s="16" t="s">
        <v>54</v>
      </c>
      <c r="H13" s="16" t="s">
        <v>41</v>
      </c>
      <c r="I13" s="16" t="s">
        <v>67</v>
      </c>
      <c r="J13" s="16" t="s">
        <v>35</v>
      </c>
      <c r="K13" s="17" t="str">
        <f aca="false">IF(A13="","",_xlfn.TEXTJOIN(",",TRUE(),G13:J13))</f>
        <v>サブカル,かわいい,セクシー,ガーリー</v>
      </c>
      <c r="L13" s="12"/>
    </row>
    <row r="14" customFormat="false" ht="16.5" hidden="false" customHeight="true" outlineLevel="0" collapsed="false">
      <c r="A14" s="11" t="s">
        <v>93</v>
      </c>
      <c r="B14" s="12" t="s">
        <v>94</v>
      </c>
      <c r="C14" s="13" t="n">
        <f aca="false">IF(A14="","",DATE(VALUE(LEFT(A14,4)),VALUE(MID(A14,5,2)),VALUE(MID(A14,7,2))))</f>
        <v>46274</v>
      </c>
      <c r="D14" s="15" t="s">
        <v>95</v>
      </c>
      <c r="E14" s="15" t="s">
        <v>96</v>
      </c>
      <c r="F14" s="12"/>
      <c r="G14" s="16" t="s">
        <v>41</v>
      </c>
      <c r="H14" s="16" t="s">
        <v>33</v>
      </c>
      <c r="I14" s="16" t="s">
        <v>77</v>
      </c>
      <c r="J14" s="16" t="s">
        <v>34</v>
      </c>
      <c r="K14" s="17" t="str">
        <f aca="false">IF(A14="","",_xlfn.TEXTJOIN(",",TRUE(),G14:J14))</f>
        <v>かわいい,清楚,ナチュラル,フェミニン</v>
      </c>
      <c r="L14" s="12"/>
    </row>
    <row r="15" customFormat="false" ht="16.5" hidden="false" customHeight="true" outlineLevel="0" collapsed="false">
      <c r="A15" s="11" t="s">
        <v>97</v>
      </c>
      <c r="B15" s="12" t="s">
        <v>98</v>
      </c>
      <c r="C15" s="13" t="n">
        <f aca="false">IF(A15="","",DATE(VALUE(LEFT(A15,4)),VALUE(MID(A15,5,2)),VALUE(MID(A15,7,2))))</f>
        <v>46272</v>
      </c>
      <c r="D15" s="15" t="s">
        <v>99</v>
      </c>
      <c r="E15" s="15" t="s">
        <v>100</v>
      </c>
      <c r="F15" s="12"/>
      <c r="G15" s="16" t="s">
        <v>41</v>
      </c>
      <c r="H15" s="16" t="s">
        <v>34</v>
      </c>
      <c r="I15" s="16" t="s">
        <v>35</v>
      </c>
      <c r="J15" s="16" t="s">
        <v>52</v>
      </c>
      <c r="K15" s="17" t="str">
        <f aca="false">IF(A15="","",_xlfn.TEXTJOIN(",",TRUE(),G15:J15))</f>
        <v>かわいい,フェミニン,ガーリー,カジュアル</v>
      </c>
      <c r="L15" s="12"/>
    </row>
    <row r="16" customFormat="false" ht="16.5" hidden="false" customHeight="true" outlineLevel="0" collapsed="false">
      <c r="A16" s="11" t="s">
        <v>101</v>
      </c>
      <c r="B16" s="12" t="s">
        <v>102</v>
      </c>
      <c r="C16" s="13" t="n">
        <f aca="false">IF(A16="","",DATE(VALUE(LEFT(A16,4)),VALUE(MID(A16,5,2)),VALUE(MID(A16,7,2))))</f>
        <v>46272</v>
      </c>
      <c r="D16" s="15" t="s">
        <v>103</v>
      </c>
      <c r="E16" s="15" t="s">
        <v>104</v>
      </c>
      <c r="F16" s="15" t="s">
        <v>105</v>
      </c>
      <c r="G16" s="16" t="s">
        <v>41</v>
      </c>
      <c r="H16" s="16" t="s">
        <v>47</v>
      </c>
      <c r="I16" s="16" t="s">
        <v>67</v>
      </c>
      <c r="J16" s="16" t="s">
        <v>72</v>
      </c>
      <c r="K16" s="17" t="str">
        <f aca="false">IF(A16="","",_xlfn.TEXTJOIN(",",TRUE(),G16:J16))</f>
        <v>かわいい,大人っぽい,セクシー,コスプレ</v>
      </c>
      <c r="L16" s="12"/>
    </row>
    <row r="17" customFormat="false" ht="16.5" hidden="false" customHeight="true" outlineLevel="0" collapsed="false">
      <c r="A17" s="11" t="s">
        <v>106</v>
      </c>
      <c r="B17" s="12" t="s">
        <v>107</v>
      </c>
      <c r="C17" s="13" t="n">
        <f aca="false">IF(A17="","",DATE(VALUE(LEFT(A17,4)),VALUE(MID(A17,5,2)),VALUE(MID(A17,7,2))))</f>
        <v>46272</v>
      </c>
      <c r="D17" s="18" t="s">
        <v>108</v>
      </c>
      <c r="E17" s="15" t="s">
        <v>109</v>
      </c>
      <c r="F17" s="15" t="s">
        <v>110</v>
      </c>
      <c r="G17" s="16" t="s">
        <v>46</v>
      </c>
      <c r="H17" s="16" t="s">
        <v>47</v>
      </c>
      <c r="I17" s="16" t="s">
        <v>67</v>
      </c>
      <c r="J17" s="16" t="s">
        <v>35</v>
      </c>
      <c r="K17" s="17" t="str">
        <f aca="false">IF(A17="","",_xlfn.TEXTJOIN(",",TRUE(),G17:J17))</f>
        <v>きれいめ,大人っぽい,セクシー,ガーリー</v>
      </c>
      <c r="L17" s="12"/>
    </row>
    <row r="18" customFormat="false" ht="16.5" hidden="false" customHeight="true" outlineLevel="0" collapsed="false">
      <c r="A18" s="11" t="s">
        <v>111</v>
      </c>
      <c r="B18" s="15" t="s">
        <v>112</v>
      </c>
      <c r="C18" s="13" t="n">
        <f aca="false">IF(A18="","",DATE(VALUE(LEFT(A18,4)),VALUE(MID(A18,5,2)),VALUE(MID(A18,7,2))))</f>
        <v>46272</v>
      </c>
      <c r="D18" s="15" t="s">
        <v>113</v>
      </c>
      <c r="E18" s="15" t="s">
        <v>114</v>
      </c>
      <c r="F18" s="12"/>
      <c r="G18" s="16" t="s">
        <v>41</v>
      </c>
      <c r="H18" s="16" t="s">
        <v>77</v>
      </c>
      <c r="I18" s="16" t="s">
        <v>115</v>
      </c>
      <c r="J18" s="16" t="s">
        <v>52</v>
      </c>
      <c r="K18" s="17" t="str">
        <f aca="false">IF(A18="","",_xlfn.TEXTJOIN(",",TRUE(),G18:J18))</f>
        <v>かわいい,ナチュラル,ボーイッシュ,カジュアル</v>
      </c>
      <c r="L18" s="12"/>
    </row>
    <row r="19" customFormat="false" ht="16.5" hidden="false" customHeight="true" outlineLevel="0" collapsed="false">
      <c r="A19" s="11" t="s">
        <v>116</v>
      </c>
      <c r="B19" s="12" t="s">
        <v>117</v>
      </c>
      <c r="C19" s="13" t="n">
        <f aca="false">IF(A19="","",DATE(VALUE(LEFT(A19,4)),VALUE(MID(A19,5,2)),VALUE(MID(A19,7,2))))</f>
        <v>46272</v>
      </c>
      <c r="D19" s="15" t="s">
        <v>118</v>
      </c>
      <c r="E19" s="15" t="s">
        <v>119</v>
      </c>
      <c r="F19" s="12"/>
      <c r="G19" s="16" t="s">
        <v>41</v>
      </c>
      <c r="H19" s="16" t="s">
        <v>67</v>
      </c>
      <c r="I19" s="16" t="s">
        <v>77</v>
      </c>
      <c r="J19" s="16" t="s">
        <v>52</v>
      </c>
      <c r="K19" s="17" t="str">
        <f aca="false">IF(A19="","",_xlfn.TEXTJOIN(",",TRUE(),G19:J19))</f>
        <v>かわいい,セクシー,ナチュラル,カジュアル</v>
      </c>
      <c r="L19" s="12"/>
    </row>
    <row r="20" customFormat="false" ht="16.5" hidden="false" customHeight="true" outlineLevel="0" collapsed="false">
      <c r="A20" s="11" t="s">
        <v>120</v>
      </c>
      <c r="B20" s="12" t="s">
        <v>121</v>
      </c>
      <c r="C20" s="13" t="n">
        <f aca="false">IF(A20="","",DATE(VALUE(LEFT(A20,4)),VALUE(MID(A20,5,2)),VALUE(MID(A20,7,2))))</f>
        <v>46272</v>
      </c>
      <c r="D20" s="15" t="s">
        <v>122</v>
      </c>
      <c r="E20" s="15" t="s">
        <v>123</v>
      </c>
      <c r="F20" s="12"/>
      <c r="G20" s="16" t="s">
        <v>46</v>
      </c>
      <c r="H20" s="16" t="s">
        <v>47</v>
      </c>
      <c r="I20" s="16" t="s">
        <v>67</v>
      </c>
      <c r="J20" s="16" t="s">
        <v>53</v>
      </c>
      <c r="K20" s="17" t="str">
        <f aca="false">IF(A20="","",_xlfn.TEXTJOIN(",",TRUE(),G20:J20))</f>
        <v>きれいめ,大人っぽい,セクシー,クール</v>
      </c>
      <c r="L20" s="12"/>
    </row>
    <row r="21" customFormat="false" ht="16.5" hidden="false" customHeight="true" outlineLevel="0" collapsed="false">
      <c r="A21" s="11" t="s">
        <v>124</v>
      </c>
      <c r="B21" s="12" t="s">
        <v>125</v>
      </c>
      <c r="C21" s="13" t="n">
        <f aca="false">IF(A21="","",DATE(VALUE(LEFT(A21,4)),VALUE(MID(A21,5,2)),VALUE(MID(A21,7,2))))</f>
        <v>46267</v>
      </c>
      <c r="D21" s="15" t="s">
        <v>126</v>
      </c>
      <c r="E21" s="15" t="s">
        <v>127</v>
      </c>
      <c r="F21" s="15" t="s">
        <v>128</v>
      </c>
      <c r="G21" s="16" t="s">
        <v>46</v>
      </c>
      <c r="H21" s="16" t="s">
        <v>33</v>
      </c>
      <c r="I21" s="16" t="s">
        <v>47</v>
      </c>
      <c r="J21" s="16" t="s">
        <v>53</v>
      </c>
      <c r="K21" s="17" t="str">
        <f aca="false">IF(A21="","",_xlfn.TEXTJOIN(",",TRUE(),G21:J21))</f>
        <v>きれいめ,清楚,大人っぽい,クール</v>
      </c>
      <c r="L21" s="12"/>
    </row>
    <row r="22" customFormat="false" ht="16.5" hidden="false" customHeight="true" outlineLevel="0" collapsed="false">
      <c r="A22" s="11" t="s">
        <v>129</v>
      </c>
      <c r="B22" s="12" t="s">
        <v>130</v>
      </c>
      <c r="C22" s="13" t="n">
        <f aca="false">IF(A22="","",DATE(VALUE(LEFT(A22,4)),VALUE(MID(A22,5,2)),VALUE(MID(A22,7,2))))</f>
        <v>46267</v>
      </c>
      <c r="D22" s="15" t="s">
        <v>131</v>
      </c>
      <c r="E22" s="15" t="s">
        <v>132</v>
      </c>
      <c r="F22" s="12"/>
      <c r="G22" s="16" t="s">
        <v>41</v>
      </c>
      <c r="H22" s="16" t="s">
        <v>35</v>
      </c>
      <c r="I22" s="16" t="s">
        <v>36</v>
      </c>
      <c r="J22" s="16" t="s">
        <v>54</v>
      </c>
      <c r="K22" s="17" t="str">
        <f aca="false">IF(A22="","",_xlfn.TEXTJOIN(",",TRUE(),G22:J22))</f>
        <v>かわいい,ガーリー,レトロ,サブカル</v>
      </c>
      <c r="L22" s="12"/>
    </row>
    <row r="23" customFormat="false" ht="16.5" hidden="false" customHeight="true" outlineLevel="0" collapsed="false">
      <c r="A23" s="11" t="s">
        <v>133</v>
      </c>
      <c r="B23" s="12" t="s">
        <v>134</v>
      </c>
      <c r="C23" s="13" t="n">
        <f aca="false">IF(A23="","",DATE(VALUE(LEFT(A23,4)),VALUE(MID(A23,5,2)),VALUE(MID(A23,7,2))))</f>
        <v>46262</v>
      </c>
      <c r="D23" s="15" t="s">
        <v>135</v>
      </c>
      <c r="E23" s="15" t="s">
        <v>136</v>
      </c>
      <c r="F23" s="12"/>
      <c r="G23" s="16" t="s">
        <v>53</v>
      </c>
      <c r="H23" s="16" t="s">
        <v>46</v>
      </c>
      <c r="I23" s="16" t="s">
        <v>78</v>
      </c>
      <c r="J23" s="16" t="s">
        <v>54</v>
      </c>
      <c r="K23" s="17" t="str">
        <f aca="false">IF(A23="","",_xlfn.TEXTJOIN(",",TRUE(),G23:J23))</f>
        <v>クール,きれいめ,モード,サブカル</v>
      </c>
      <c r="L23" s="12"/>
    </row>
    <row r="24" customFormat="false" ht="16.5" hidden="false" customHeight="true" outlineLevel="0" collapsed="false">
      <c r="A24" s="11" t="s">
        <v>137</v>
      </c>
      <c r="B24" s="12" t="s">
        <v>138</v>
      </c>
      <c r="C24" s="13" t="n">
        <f aca="false">IF(A24="","",DATE(VALUE(LEFT(A24,4)),VALUE(MID(A24,5,2)),VALUE(MID(A24,7,2))))</f>
        <v>46262</v>
      </c>
      <c r="D24" s="15" t="s">
        <v>139</v>
      </c>
      <c r="E24" s="15" t="s">
        <v>140</v>
      </c>
      <c r="F24" s="12"/>
      <c r="G24" s="16" t="s">
        <v>41</v>
      </c>
      <c r="H24" s="16" t="s">
        <v>34</v>
      </c>
      <c r="I24" s="16" t="s">
        <v>35</v>
      </c>
      <c r="J24" s="16" t="s">
        <v>36</v>
      </c>
      <c r="K24" s="17" t="str">
        <f aca="false">IF(A24="","",_xlfn.TEXTJOIN(",",TRUE(),G24:J24))</f>
        <v>かわいい,フェミニン,ガーリー,レトロ</v>
      </c>
      <c r="L24" s="12"/>
    </row>
    <row r="25" customFormat="false" ht="16.5" hidden="false" customHeight="true" outlineLevel="0" collapsed="false">
      <c r="A25" s="11" t="s">
        <v>141</v>
      </c>
      <c r="B25" s="12" t="s">
        <v>142</v>
      </c>
      <c r="C25" s="13" t="n">
        <f aca="false">IF(A25="","",DATE(VALUE(LEFT(A25,4)),VALUE(MID(A25,5,2)),VALUE(MID(A25,7,2))))</f>
        <v>46262</v>
      </c>
      <c r="D25" s="15" t="s">
        <v>143</v>
      </c>
      <c r="E25" s="15" t="s">
        <v>144</v>
      </c>
      <c r="F25" s="12"/>
      <c r="G25" s="16" t="s">
        <v>67</v>
      </c>
      <c r="H25" s="16" t="s">
        <v>145</v>
      </c>
      <c r="I25" s="16" t="s">
        <v>54</v>
      </c>
      <c r="J25" s="16" t="s">
        <v>67</v>
      </c>
      <c r="K25" s="17" t="str">
        <f aca="false">IF(A25="","",_xlfn.TEXTJOIN(",",TRUE(),G25:J25))</f>
        <v>セクシー,ギャル,サブカル,セクシー</v>
      </c>
      <c r="L25" s="12"/>
    </row>
    <row r="26" customFormat="false" ht="16.5" hidden="false" customHeight="true" outlineLevel="0" collapsed="false">
      <c r="A26" s="11" t="s">
        <v>146</v>
      </c>
      <c r="B26" s="12" t="s">
        <v>147</v>
      </c>
      <c r="C26" s="13" t="n">
        <f aca="false">IF(A26="","",DATE(VALUE(LEFT(A26,4)),VALUE(MID(A26,5,2)),VALUE(MID(A26,7,2))))</f>
        <v>46255</v>
      </c>
      <c r="D26" s="15" t="s">
        <v>148</v>
      </c>
      <c r="E26" s="15" t="s">
        <v>149</v>
      </c>
      <c r="F26" s="12"/>
      <c r="G26" s="16" t="s">
        <v>35</v>
      </c>
      <c r="H26" s="16" t="s">
        <v>41</v>
      </c>
      <c r="I26" s="16" t="s">
        <v>150</v>
      </c>
      <c r="J26" s="16" t="s">
        <v>54</v>
      </c>
      <c r="K26" s="17" t="str">
        <f aca="false">IF(A26="","",_xlfn.TEXTJOIN(",",TRUE(),G26:J26))</f>
        <v>ガーリー,かわいい,ロリータ,サブカル</v>
      </c>
      <c r="L26" s="12"/>
    </row>
    <row r="27" customFormat="false" ht="16.5" hidden="false" customHeight="true" outlineLevel="0" collapsed="false">
      <c r="A27" s="11" t="s">
        <v>151</v>
      </c>
      <c r="B27" s="12" t="s">
        <v>152</v>
      </c>
      <c r="C27" s="13" t="n">
        <f aca="false">IF(A27="","",DATE(VALUE(LEFT(A27,4)),VALUE(MID(A27,5,2)),VALUE(MID(A27,7,2))))</f>
        <v>46255</v>
      </c>
      <c r="D27" s="15" t="s">
        <v>153</v>
      </c>
      <c r="E27" s="15" t="s">
        <v>154</v>
      </c>
      <c r="F27" s="15" t="s">
        <v>155</v>
      </c>
      <c r="G27" s="16" t="s">
        <v>35</v>
      </c>
      <c r="H27" s="16" t="s">
        <v>67</v>
      </c>
      <c r="I27" s="16" t="s">
        <v>54</v>
      </c>
      <c r="J27" s="16" t="s">
        <v>72</v>
      </c>
      <c r="K27" s="17" t="str">
        <f aca="false">IF(A27="","",_xlfn.TEXTJOIN(",",TRUE(),G27:J27))</f>
        <v>ガーリー,セクシー,サブカル,コスプレ</v>
      </c>
      <c r="L27" s="12"/>
    </row>
    <row r="28" customFormat="false" ht="16.5" hidden="false" customHeight="true" outlineLevel="0" collapsed="false">
      <c r="A28" s="11" t="s">
        <v>156</v>
      </c>
      <c r="B28" s="12" t="s">
        <v>157</v>
      </c>
      <c r="C28" s="13" t="n">
        <f aca="false">IF(A28="","",DATE(VALUE(LEFT(A28,4)),VALUE(MID(A28,5,2)),VALUE(MID(A28,7,2))))</f>
        <v>46255</v>
      </c>
      <c r="D28" s="15" t="s">
        <v>158</v>
      </c>
      <c r="E28" s="15" t="s">
        <v>159</v>
      </c>
      <c r="F28" s="12"/>
      <c r="G28" s="16" t="s">
        <v>41</v>
      </c>
      <c r="H28" s="16" t="s">
        <v>33</v>
      </c>
      <c r="I28" s="16" t="s">
        <v>34</v>
      </c>
      <c r="J28" s="16" t="s">
        <v>35</v>
      </c>
      <c r="K28" s="17" t="str">
        <f aca="false">IF(A28="","",_xlfn.TEXTJOIN(",",TRUE(),G28:J28))</f>
        <v>かわいい,清楚,フェミニン,ガーリー</v>
      </c>
      <c r="L28" s="12"/>
    </row>
    <row r="29" customFormat="false" ht="16.5" hidden="false" customHeight="true" outlineLevel="0" collapsed="false">
      <c r="A29" s="11" t="s">
        <v>160</v>
      </c>
      <c r="B29" s="12" t="s">
        <v>161</v>
      </c>
      <c r="C29" s="13" t="n">
        <f aca="false">IF(A29="","",DATE(VALUE(LEFT(A29,4)),VALUE(MID(A29,5,2)),VALUE(MID(A29,7,2))))</f>
        <v>46255</v>
      </c>
      <c r="D29" s="15" t="s">
        <v>162</v>
      </c>
      <c r="E29" s="15" t="s">
        <v>163</v>
      </c>
      <c r="F29" s="12"/>
      <c r="G29" s="16" t="s">
        <v>53</v>
      </c>
      <c r="H29" s="16" t="s">
        <v>78</v>
      </c>
      <c r="I29" s="16" t="s">
        <v>88</v>
      </c>
      <c r="J29" s="16" t="s">
        <v>77</v>
      </c>
      <c r="K29" s="17" t="str">
        <f aca="false">IF(A29="","",_xlfn.TEXTJOIN(",",TRUE(),G29:J29))</f>
        <v>クール,モード,ゴス・地雷,ナチュラル</v>
      </c>
      <c r="L29" s="12"/>
    </row>
    <row r="30" customFormat="false" ht="16.5" hidden="false" customHeight="true" outlineLevel="0" collapsed="false">
      <c r="A30" s="11" t="s">
        <v>164</v>
      </c>
      <c r="B30" s="12" t="s">
        <v>165</v>
      </c>
      <c r="C30" s="13" t="n">
        <f aca="false">IF(A30="","",DATE(VALUE(LEFT(A30,4)),VALUE(MID(A30,5,2)),VALUE(MID(A30,7,2))))</f>
        <v>46255</v>
      </c>
      <c r="D30" s="15" t="s">
        <v>166</v>
      </c>
      <c r="E30" s="15" t="s">
        <v>167</v>
      </c>
      <c r="F30" s="12"/>
      <c r="G30" s="16" t="s">
        <v>46</v>
      </c>
      <c r="H30" s="16" t="s">
        <v>47</v>
      </c>
      <c r="I30" s="16" t="s">
        <v>78</v>
      </c>
      <c r="J30" s="16" t="s">
        <v>168</v>
      </c>
      <c r="K30" s="17" t="str">
        <f aca="false">IF(A30="","",_xlfn.TEXTJOIN(",",TRUE(),G30:J30))</f>
        <v>きれいめ,大人っぽい,モード,韓国風</v>
      </c>
      <c r="L30" s="12"/>
    </row>
    <row r="31" customFormat="false" ht="16.5" hidden="false" customHeight="true" outlineLevel="0" collapsed="false">
      <c r="A31" s="11" t="s">
        <v>169</v>
      </c>
      <c r="B31" s="12" t="s">
        <v>170</v>
      </c>
      <c r="C31" s="13" t="n">
        <f aca="false">IF(A31="","",DATE(VALUE(LEFT(A31,4)),VALUE(MID(A31,5,2)),VALUE(MID(A31,7,2))))</f>
        <v>46253</v>
      </c>
      <c r="D31" s="15" t="s">
        <v>171</v>
      </c>
      <c r="E31" s="15" t="s">
        <v>172</v>
      </c>
      <c r="F31" s="12"/>
      <c r="G31" s="16" t="s">
        <v>47</v>
      </c>
      <c r="H31" s="16" t="s">
        <v>67</v>
      </c>
      <c r="I31" s="16" t="s">
        <v>54</v>
      </c>
      <c r="J31" s="16" t="s">
        <v>72</v>
      </c>
      <c r="K31" s="17" t="str">
        <f aca="false">IF(A31="","",_xlfn.TEXTJOIN(",",TRUE(),G31:J31))</f>
        <v>大人っぽい,セクシー,サブカル,コスプレ</v>
      </c>
      <c r="L31" s="12"/>
    </row>
    <row r="32" customFormat="false" ht="16.5" hidden="false" customHeight="true" outlineLevel="0" collapsed="false">
      <c r="A32" s="11" t="s">
        <v>173</v>
      </c>
      <c r="B32" s="12" t="s">
        <v>174</v>
      </c>
      <c r="C32" s="13" t="n">
        <f aca="false">IF(A32="","",DATE(VALUE(LEFT(A32,4)),VALUE(MID(A32,5,2)),VALUE(MID(A32,7,2))))</f>
        <v>46253</v>
      </c>
      <c r="D32" s="15" t="s">
        <v>175</v>
      </c>
      <c r="E32" s="15" t="s">
        <v>176</v>
      </c>
      <c r="F32" s="12"/>
      <c r="G32" s="16" t="s">
        <v>41</v>
      </c>
      <c r="H32" s="16" t="s">
        <v>35</v>
      </c>
      <c r="I32" s="16" t="s">
        <v>88</v>
      </c>
      <c r="J32" s="16" t="s">
        <v>150</v>
      </c>
      <c r="K32" s="17" t="str">
        <f aca="false">IF(A32="","",_xlfn.TEXTJOIN(",",TRUE(),G32:J32))</f>
        <v>かわいい,ガーリー,ゴス・地雷,ロリータ</v>
      </c>
      <c r="L32" s="12"/>
    </row>
    <row r="33" customFormat="false" ht="16.5" hidden="false" customHeight="true" outlineLevel="0" collapsed="false">
      <c r="A33" s="11" t="s">
        <v>177</v>
      </c>
      <c r="B33" s="15" t="s">
        <v>178</v>
      </c>
      <c r="C33" s="13" t="n">
        <f aca="false">IF(A33="","",DATE(VALUE(LEFT(A33,4)),VALUE(MID(A33,5,2)),VALUE(MID(A33,7,2))))</f>
        <v>46248</v>
      </c>
      <c r="D33" s="15" t="s">
        <v>179</v>
      </c>
      <c r="E33" s="15" t="s">
        <v>180</v>
      </c>
      <c r="F33" s="12"/>
      <c r="G33" s="16" t="s">
        <v>41</v>
      </c>
      <c r="H33" s="16" t="s">
        <v>35</v>
      </c>
      <c r="I33" s="16" t="s">
        <v>54</v>
      </c>
      <c r="J33" s="16" t="s">
        <v>72</v>
      </c>
      <c r="K33" s="17" t="str">
        <f aca="false">IF(A33="","",_xlfn.TEXTJOIN(",",TRUE(),G33:J33))</f>
        <v>かわいい,ガーリー,サブカル,コスプレ</v>
      </c>
      <c r="L33" s="12"/>
    </row>
    <row r="34" customFormat="false" ht="16.5" hidden="false" customHeight="true" outlineLevel="0" collapsed="false">
      <c r="A34" s="11" t="s">
        <v>181</v>
      </c>
      <c r="B34" s="12" t="s">
        <v>182</v>
      </c>
      <c r="C34" s="13" t="n">
        <f aca="false">IF(A34="","",DATE(VALUE(LEFT(A34,4)),VALUE(MID(A34,5,2)),VALUE(MID(A34,7,2))))</f>
        <v>46248</v>
      </c>
      <c r="D34" s="15" t="s">
        <v>183</v>
      </c>
      <c r="E34" s="15" t="s">
        <v>184</v>
      </c>
      <c r="F34" s="12"/>
      <c r="G34" s="16" t="s">
        <v>46</v>
      </c>
      <c r="H34" s="16" t="s">
        <v>33</v>
      </c>
      <c r="I34" s="16" t="s">
        <v>47</v>
      </c>
      <c r="J34" s="16" t="s">
        <v>34</v>
      </c>
      <c r="K34" s="17" t="str">
        <f aca="false">IF(A34="","",_xlfn.TEXTJOIN(",",TRUE(),G34:J34))</f>
        <v>きれいめ,清楚,大人っぽい,フェミニン</v>
      </c>
      <c r="L34" s="12"/>
    </row>
    <row r="35" customFormat="false" ht="16.5" hidden="false" customHeight="true" outlineLevel="0" collapsed="false">
      <c r="A35" s="11" t="s">
        <v>185</v>
      </c>
      <c r="B35" s="12" t="s">
        <v>186</v>
      </c>
      <c r="C35" s="13" t="n">
        <f aca="false">IF(A35="","",DATE(VALUE(LEFT(A35,4)),VALUE(MID(A35,5,2)),VALUE(MID(A35,7,2))))</f>
        <v>46244</v>
      </c>
      <c r="D35" s="15" t="s">
        <v>187</v>
      </c>
      <c r="E35" s="15" t="s">
        <v>188</v>
      </c>
      <c r="F35" s="12"/>
      <c r="G35" s="16" t="s">
        <v>41</v>
      </c>
      <c r="H35" s="16" t="s">
        <v>52</v>
      </c>
      <c r="I35" s="16" t="s">
        <v>145</v>
      </c>
      <c r="J35" s="16" t="s">
        <v>54</v>
      </c>
      <c r="K35" s="17" t="str">
        <f aca="false">IF(A35="","",_xlfn.TEXTJOIN(",",TRUE(),G35:J35))</f>
        <v>かわいい,カジュアル,ギャル,サブカル</v>
      </c>
      <c r="L35" s="12"/>
    </row>
    <row r="36" customFormat="false" ht="16.5" hidden="false" customHeight="true" outlineLevel="0" collapsed="false">
      <c r="A36" s="11" t="s">
        <v>189</v>
      </c>
      <c r="B36" s="12" t="s">
        <v>190</v>
      </c>
      <c r="C36" s="13" t="n">
        <f aca="false">IF(A36="","",DATE(VALUE(LEFT(A36,4)),VALUE(MID(A36,5,2)),VALUE(MID(A36,7,2))))</f>
        <v>46244</v>
      </c>
      <c r="D36" s="15" t="s">
        <v>191</v>
      </c>
      <c r="E36" s="15" t="s">
        <v>192</v>
      </c>
      <c r="F36" s="12"/>
      <c r="G36" s="16" t="s">
        <v>47</v>
      </c>
      <c r="H36" s="16" t="s">
        <v>67</v>
      </c>
      <c r="I36" s="16" t="s">
        <v>53</v>
      </c>
      <c r="J36" s="16" t="s">
        <v>83</v>
      </c>
      <c r="K36" s="17" t="str">
        <f aca="false">IF(A36="","",_xlfn.TEXTJOIN(",",TRUE(),G36:J36))</f>
        <v>大人っぽい,セクシー,クール,和装</v>
      </c>
      <c r="L36" s="12"/>
    </row>
    <row r="37" customFormat="false" ht="16.5" hidden="false" customHeight="true" outlineLevel="0" collapsed="false">
      <c r="A37" s="11" t="s">
        <v>193</v>
      </c>
      <c r="B37" s="12" t="s">
        <v>194</v>
      </c>
      <c r="C37" s="13" t="n">
        <f aca="false">IF(A37="","",DATE(VALUE(LEFT(A37,4)),VALUE(MID(A37,5,2)),VALUE(MID(A37,7,2))))</f>
        <v>46244</v>
      </c>
      <c r="D37" s="15" t="s">
        <v>195</v>
      </c>
      <c r="E37" s="15" t="s">
        <v>196</v>
      </c>
      <c r="F37" s="15" t="s">
        <v>197</v>
      </c>
      <c r="G37" s="16" t="s">
        <v>33</v>
      </c>
      <c r="H37" s="16" t="s">
        <v>77</v>
      </c>
      <c r="I37" s="16" t="s">
        <v>41</v>
      </c>
      <c r="J37" s="16" t="s">
        <v>72</v>
      </c>
      <c r="K37" s="17" t="str">
        <f aca="false">IF(A37="","",_xlfn.TEXTJOIN(",",TRUE(),G37:J37))</f>
        <v>清楚,ナチュラル,かわいい,コスプレ</v>
      </c>
      <c r="L37" s="12"/>
    </row>
    <row r="38" customFormat="false" ht="16.5" hidden="false" customHeight="true" outlineLevel="0" collapsed="false">
      <c r="A38" s="11" t="s">
        <v>198</v>
      </c>
      <c r="B38" s="12" t="s">
        <v>199</v>
      </c>
      <c r="C38" s="13" t="n">
        <f aca="false">IF(A38="","",DATE(VALUE(LEFT(A38,4)),VALUE(MID(A38,5,2)),VALUE(MID(A38,7,2))))</f>
        <v>46244</v>
      </c>
      <c r="D38" s="15" t="s">
        <v>200</v>
      </c>
      <c r="E38" s="15" t="s">
        <v>201</v>
      </c>
      <c r="F38" s="12"/>
      <c r="G38" s="16" t="s">
        <v>33</v>
      </c>
      <c r="H38" s="16" t="s">
        <v>77</v>
      </c>
      <c r="I38" s="16" t="s">
        <v>52</v>
      </c>
      <c r="J38" s="16" t="s">
        <v>41</v>
      </c>
      <c r="K38" s="17" t="str">
        <f aca="false">IF(A38="","",_xlfn.TEXTJOIN(",",TRUE(),G38:J38))</f>
        <v>清楚,ナチュラル,カジュアル,かわいい</v>
      </c>
      <c r="L38" s="12"/>
    </row>
    <row r="39" customFormat="false" ht="16.5" hidden="false" customHeight="true" outlineLevel="0" collapsed="false">
      <c r="A39" s="11" t="s">
        <v>202</v>
      </c>
      <c r="B39" s="12" t="s">
        <v>203</v>
      </c>
      <c r="C39" s="13" t="n">
        <f aca="false">IF(A39="","",DATE(VALUE(LEFT(A39,4)),VALUE(MID(A39,5,2)),VALUE(MID(A39,7,2))))</f>
        <v>46244</v>
      </c>
      <c r="D39" s="15" t="s">
        <v>204</v>
      </c>
      <c r="E39" s="15" t="s">
        <v>205</v>
      </c>
      <c r="F39" s="15" t="s">
        <v>206</v>
      </c>
      <c r="G39" s="16" t="s">
        <v>41</v>
      </c>
      <c r="H39" s="16" t="s">
        <v>77</v>
      </c>
      <c r="I39" s="16" t="s">
        <v>168</v>
      </c>
      <c r="J39" s="16" t="s">
        <v>52</v>
      </c>
      <c r="K39" s="17" t="str">
        <f aca="false">IF(A39="","",_xlfn.TEXTJOIN(",",TRUE(),G39:J39))</f>
        <v>かわいい,ナチュラル,韓国風,カジュアル</v>
      </c>
      <c r="L39" s="12"/>
    </row>
    <row r="40" customFormat="false" ht="16.5" hidden="false" customHeight="true" outlineLevel="0" collapsed="false">
      <c r="A40" s="11" t="s">
        <v>207</v>
      </c>
      <c r="B40" s="12" t="s">
        <v>208</v>
      </c>
      <c r="C40" s="13" t="n">
        <f aca="false">IF(A40="","",DATE(VALUE(LEFT(A40,4)),VALUE(MID(A40,5,2)),VALUE(MID(A40,7,2))))</f>
        <v>46233</v>
      </c>
      <c r="D40" s="15" t="s">
        <v>209</v>
      </c>
      <c r="E40" s="15" t="s">
        <v>210</v>
      </c>
      <c r="F40" s="12"/>
      <c r="G40" s="16" t="s">
        <v>47</v>
      </c>
      <c r="H40" s="16" t="s">
        <v>67</v>
      </c>
      <c r="I40" s="16" t="s">
        <v>53</v>
      </c>
      <c r="J40" s="16" t="s">
        <v>52</v>
      </c>
      <c r="K40" s="17" t="str">
        <f aca="false">IF(A40="","",_xlfn.TEXTJOIN(",",TRUE(),G40:J40))</f>
        <v>大人っぽい,セクシー,クール,カジュアル</v>
      </c>
      <c r="L40" s="12"/>
    </row>
    <row r="41" customFormat="false" ht="16.5" hidden="false" customHeight="true" outlineLevel="0" collapsed="false">
      <c r="A41" s="11" t="s">
        <v>211</v>
      </c>
      <c r="B41" s="12" t="s">
        <v>212</v>
      </c>
      <c r="C41" s="13" t="n">
        <f aca="false">IF(A41="","",DATE(VALUE(LEFT(A41,4)),VALUE(MID(A41,5,2)),VALUE(MID(A41,7,2))))</f>
        <v>46233</v>
      </c>
      <c r="D41" s="15" t="s">
        <v>213</v>
      </c>
      <c r="E41" s="15" t="s">
        <v>214</v>
      </c>
      <c r="F41" s="12"/>
      <c r="G41" s="16" t="s">
        <v>35</v>
      </c>
      <c r="H41" s="16" t="s">
        <v>78</v>
      </c>
      <c r="I41" s="16" t="s">
        <v>53</v>
      </c>
      <c r="J41" s="16" t="s">
        <v>88</v>
      </c>
      <c r="K41" s="17" t="str">
        <f aca="false">IF(A41="","",_xlfn.TEXTJOIN(",",TRUE(),G41:J41))</f>
        <v>ガーリー,モード,クール,ゴス・地雷</v>
      </c>
      <c r="L41" s="12"/>
    </row>
    <row r="42" customFormat="false" ht="16.5" hidden="false" customHeight="true" outlineLevel="0" collapsed="false">
      <c r="A42" s="11" t="s">
        <v>215</v>
      </c>
      <c r="B42" s="12" t="s">
        <v>216</v>
      </c>
      <c r="C42" s="13" t="n">
        <f aca="false">IF(A42="","",DATE(VALUE(LEFT(A42,4)),VALUE(MID(A42,5,2)),VALUE(MID(A42,7,2))))</f>
        <v>46233</v>
      </c>
      <c r="D42" s="15" t="s">
        <v>217</v>
      </c>
      <c r="E42" s="15" t="s">
        <v>218</v>
      </c>
      <c r="F42" s="12"/>
      <c r="G42" s="16" t="s">
        <v>41</v>
      </c>
      <c r="H42" s="16" t="s">
        <v>35</v>
      </c>
      <c r="I42" s="16" t="s">
        <v>77</v>
      </c>
      <c r="J42" s="16" t="s">
        <v>54</v>
      </c>
      <c r="K42" s="17" t="str">
        <f aca="false">IF(A42="","",_xlfn.TEXTJOIN(",",TRUE(),G42:J42))</f>
        <v>かわいい,ガーリー,ナチュラル,サブカル</v>
      </c>
      <c r="L42" s="12"/>
    </row>
    <row r="43" customFormat="false" ht="16.5" hidden="false" customHeight="true" outlineLevel="0" collapsed="false">
      <c r="A43" s="11" t="s">
        <v>219</v>
      </c>
      <c r="B43" s="12" t="s">
        <v>220</v>
      </c>
      <c r="C43" s="13" t="n">
        <f aca="false">IF(A43="","",DATE(VALUE(LEFT(A43,4)),VALUE(MID(A43,5,2)),VALUE(MID(A43,7,2))))</f>
        <v>46233</v>
      </c>
      <c r="D43" s="15" t="s">
        <v>221</v>
      </c>
      <c r="E43" s="15" t="s">
        <v>222</v>
      </c>
      <c r="F43" s="12"/>
      <c r="G43" s="16" t="s">
        <v>41</v>
      </c>
      <c r="H43" s="16" t="s">
        <v>35</v>
      </c>
      <c r="I43" s="16" t="s">
        <v>88</v>
      </c>
      <c r="J43" s="16" t="s">
        <v>54</v>
      </c>
      <c r="K43" s="17" t="str">
        <f aca="false">IF(A43="","",_xlfn.TEXTJOIN(",",TRUE(),G43:J43))</f>
        <v>かわいい,ガーリー,ゴス・地雷,サブカル</v>
      </c>
      <c r="L43" s="12"/>
    </row>
    <row r="44" customFormat="false" ht="16.5" hidden="false" customHeight="true" outlineLevel="0" collapsed="false">
      <c r="A44" s="11" t="s">
        <v>223</v>
      </c>
      <c r="B44" s="12" t="s">
        <v>224</v>
      </c>
      <c r="C44" s="13" t="n">
        <f aca="false">IF(A44="","",DATE(VALUE(LEFT(A44,4)),VALUE(MID(A44,5,2)),VALUE(MID(A44,7,2))))</f>
        <v>46233</v>
      </c>
      <c r="D44" s="15" t="s">
        <v>225</v>
      </c>
      <c r="E44" s="15" t="s">
        <v>226</v>
      </c>
      <c r="F44" s="12"/>
      <c r="G44" s="16" t="s">
        <v>47</v>
      </c>
      <c r="H44" s="16" t="s">
        <v>67</v>
      </c>
      <c r="I44" s="16" t="s">
        <v>145</v>
      </c>
      <c r="J44" s="16" t="s">
        <v>53</v>
      </c>
      <c r="K44" s="17" t="str">
        <f aca="false">IF(A44="","",_xlfn.TEXTJOIN(",",TRUE(),G44:J44))</f>
        <v>大人っぽい,セクシー,ギャル,クール</v>
      </c>
      <c r="L44" s="12"/>
    </row>
    <row r="45" customFormat="false" ht="16.5" hidden="false" customHeight="true" outlineLevel="0" collapsed="false">
      <c r="A45" s="11" t="s">
        <v>227</v>
      </c>
      <c r="B45" s="12" t="s">
        <v>228</v>
      </c>
      <c r="C45" s="13" t="n">
        <f aca="false">IF(A45="","",DATE(VALUE(LEFT(A45,4)),VALUE(MID(A45,5,2)),VALUE(MID(A45,7,2))))</f>
        <v>46233</v>
      </c>
      <c r="D45" s="15" t="s">
        <v>229</v>
      </c>
      <c r="E45" s="15" t="s">
        <v>230</v>
      </c>
      <c r="F45" s="15" t="s">
        <v>231</v>
      </c>
      <c r="G45" s="16" t="s">
        <v>35</v>
      </c>
      <c r="H45" s="16" t="s">
        <v>168</v>
      </c>
      <c r="I45" s="16" t="s">
        <v>54</v>
      </c>
      <c r="J45" s="16" t="s">
        <v>72</v>
      </c>
      <c r="K45" s="17" t="str">
        <f aca="false">IF(A45="","",_xlfn.TEXTJOIN(",",TRUE(),G45:J45))</f>
        <v>ガーリー,韓国風,サブカル,コスプレ</v>
      </c>
      <c r="L45" s="12"/>
    </row>
    <row r="46" customFormat="false" ht="16.5" hidden="false" customHeight="true" outlineLevel="0" collapsed="false">
      <c r="A46" s="11" t="s">
        <v>232</v>
      </c>
      <c r="B46" s="12" t="s">
        <v>233</v>
      </c>
      <c r="C46" s="13" t="n">
        <f aca="false">IF(A46="","",DATE(VALUE(LEFT(A46,4)),VALUE(MID(A46,5,2)),VALUE(MID(A46,7,2))))</f>
        <v>46233</v>
      </c>
      <c r="D46" s="15" t="s">
        <v>234</v>
      </c>
      <c r="E46" s="15" t="s">
        <v>235</v>
      </c>
      <c r="F46" s="12"/>
      <c r="G46" s="16" t="s">
        <v>46</v>
      </c>
      <c r="H46" s="16" t="s">
        <v>47</v>
      </c>
      <c r="I46" s="16" t="s">
        <v>67</v>
      </c>
      <c r="J46" s="16" t="s">
        <v>145</v>
      </c>
      <c r="K46" s="17" t="str">
        <f aca="false">IF(A46="","",_xlfn.TEXTJOIN(",",TRUE(),G46:J46))</f>
        <v>きれいめ,大人っぽい,セクシー,ギャル</v>
      </c>
      <c r="L46" s="12"/>
    </row>
    <row r="47" customFormat="false" ht="16.5" hidden="false" customHeight="true" outlineLevel="0" collapsed="false">
      <c r="A47" s="11" t="s">
        <v>236</v>
      </c>
      <c r="B47" s="12" t="s">
        <v>237</v>
      </c>
      <c r="C47" s="13" t="n">
        <f aca="false">IF(A47="","",DATE(VALUE(LEFT(A47,4)),VALUE(MID(A47,5,2)),VALUE(MID(A47,7,2))))</f>
        <v>46233</v>
      </c>
      <c r="D47" s="15" t="s">
        <v>238</v>
      </c>
      <c r="E47" s="15" t="s">
        <v>239</v>
      </c>
      <c r="F47" s="15" t="s">
        <v>240</v>
      </c>
      <c r="G47" s="16" t="s">
        <v>34</v>
      </c>
      <c r="H47" s="16" t="s">
        <v>35</v>
      </c>
      <c r="I47" s="16" t="s">
        <v>150</v>
      </c>
      <c r="J47" s="16" t="s">
        <v>54</v>
      </c>
      <c r="K47" s="17" t="str">
        <f aca="false">IF(A47="","",_xlfn.TEXTJOIN(",",TRUE(),G47:J47))</f>
        <v>フェミニン,ガーリー,ロリータ,サブカル</v>
      </c>
      <c r="L47" s="12"/>
    </row>
    <row r="48" customFormat="false" ht="16.5" hidden="false" customHeight="true" outlineLevel="0" collapsed="false">
      <c r="A48" s="11" t="s">
        <v>241</v>
      </c>
      <c r="B48" s="12" t="s">
        <v>242</v>
      </c>
      <c r="C48" s="13" t="n">
        <f aca="false">IF(A48="","",DATE(VALUE(LEFT(A48,4)),VALUE(MID(A48,5,2)),VALUE(MID(A48,7,2))))</f>
        <v>46230</v>
      </c>
      <c r="D48" s="15" t="s">
        <v>243</v>
      </c>
      <c r="E48" s="15" t="s">
        <v>244</v>
      </c>
      <c r="F48" s="15" t="s">
        <v>245</v>
      </c>
      <c r="G48" s="16" t="s">
        <v>34</v>
      </c>
      <c r="H48" s="16" t="s">
        <v>35</v>
      </c>
      <c r="I48" s="16" t="s">
        <v>150</v>
      </c>
      <c r="J48" s="16" t="s">
        <v>54</v>
      </c>
      <c r="K48" s="17" t="str">
        <f aca="false">IF(A48="","",_xlfn.TEXTJOIN(",",TRUE(),G48:J48))</f>
        <v>フェミニン,ガーリー,ロリータ,サブカル</v>
      </c>
      <c r="L48" s="12"/>
    </row>
    <row r="49" customFormat="false" ht="16.5" hidden="false" customHeight="true" outlineLevel="0" collapsed="false">
      <c r="A49" s="11" t="s">
        <v>246</v>
      </c>
      <c r="B49" s="12" t="s">
        <v>247</v>
      </c>
      <c r="C49" s="13" t="n">
        <f aca="false">IF(A49="","",DATE(VALUE(LEFT(A49,4)),VALUE(MID(A49,5,2)),VALUE(MID(A49,7,2))))</f>
        <v>46226</v>
      </c>
      <c r="D49" s="15" t="s">
        <v>248</v>
      </c>
      <c r="E49" s="15" t="s">
        <v>249</v>
      </c>
      <c r="F49" s="12"/>
      <c r="G49" s="16" t="s">
        <v>35</v>
      </c>
      <c r="H49" s="16" t="s">
        <v>52</v>
      </c>
      <c r="I49" s="16" t="s">
        <v>88</v>
      </c>
      <c r="J49" s="16" t="s">
        <v>54</v>
      </c>
      <c r="K49" s="17" t="str">
        <f aca="false">IF(A49="","",_xlfn.TEXTJOIN(",",TRUE(),G49:J49))</f>
        <v>ガーリー,カジュアル,ゴス・地雷,サブカル</v>
      </c>
      <c r="L49" s="12"/>
    </row>
    <row r="50" customFormat="false" ht="16.5" hidden="false" customHeight="true" outlineLevel="0" collapsed="false">
      <c r="A50" s="11" t="s">
        <v>250</v>
      </c>
      <c r="B50" s="12" t="s">
        <v>251</v>
      </c>
      <c r="C50" s="13" t="n">
        <f aca="false">IF(A50="","",DATE(VALUE(LEFT(A50,4)),VALUE(MID(A50,5,2)),VALUE(MID(A50,7,2))))</f>
        <v>46226</v>
      </c>
      <c r="D50" s="15" t="s">
        <v>252</v>
      </c>
      <c r="E50" s="15" t="s">
        <v>253</v>
      </c>
      <c r="F50" s="12"/>
      <c r="G50" s="16" t="s">
        <v>46</v>
      </c>
      <c r="H50" s="16" t="s">
        <v>47</v>
      </c>
      <c r="I50" s="16" t="s">
        <v>67</v>
      </c>
      <c r="J50" s="16" t="s">
        <v>52</v>
      </c>
      <c r="K50" s="17" t="str">
        <f aca="false">IF(A50="","",_xlfn.TEXTJOIN(",",TRUE(),G50:J50))</f>
        <v>きれいめ,大人っぽい,セクシー,カジュアル</v>
      </c>
      <c r="L50" s="12"/>
    </row>
    <row r="51" customFormat="false" ht="16.5" hidden="false" customHeight="true" outlineLevel="0" collapsed="false">
      <c r="A51" s="11" t="s">
        <v>254</v>
      </c>
      <c r="B51" s="12" t="s">
        <v>255</v>
      </c>
      <c r="C51" s="13" t="n">
        <f aca="false">IF(A51="","",DATE(VALUE(LEFT(A51,4)),VALUE(MID(A51,5,2)),VALUE(MID(A51,7,2))))</f>
        <v>46226</v>
      </c>
      <c r="D51" s="15" t="s">
        <v>256</v>
      </c>
      <c r="E51" s="15" t="s">
        <v>257</v>
      </c>
      <c r="F51" s="12"/>
      <c r="G51" s="16" t="s">
        <v>46</v>
      </c>
      <c r="H51" s="16" t="s">
        <v>78</v>
      </c>
      <c r="I51" s="16" t="s">
        <v>53</v>
      </c>
      <c r="J51" s="16" t="s">
        <v>47</v>
      </c>
      <c r="K51" s="17" t="str">
        <f aca="false">IF(A51="","",_xlfn.TEXTJOIN(",",TRUE(),G51:J51))</f>
        <v>きれいめ,モード,クール,大人っぽい</v>
      </c>
      <c r="L51" s="12"/>
    </row>
    <row r="52" customFormat="false" ht="16.5" hidden="false" customHeight="true" outlineLevel="0" collapsed="false">
      <c r="A52" s="11" t="s">
        <v>258</v>
      </c>
      <c r="B52" s="12" t="s">
        <v>259</v>
      </c>
      <c r="C52" s="13" t="n">
        <f aca="false">IF(A52="","",DATE(VALUE(LEFT(A52,4)),VALUE(MID(A52,5,2)),VALUE(MID(A52,7,2))))</f>
        <v>46223</v>
      </c>
      <c r="D52" s="15" t="s">
        <v>260</v>
      </c>
      <c r="E52" s="15" t="s">
        <v>261</v>
      </c>
      <c r="F52" s="12"/>
      <c r="G52" s="16" t="s">
        <v>41</v>
      </c>
      <c r="H52" s="16" t="s">
        <v>33</v>
      </c>
      <c r="I52" s="16" t="s">
        <v>34</v>
      </c>
      <c r="J52" s="16" t="s">
        <v>35</v>
      </c>
      <c r="K52" s="17" t="str">
        <f aca="false">IF(A52="","",_xlfn.TEXTJOIN(",",TRUE(),G52:J52))</f>
        <v>かわいい,清楚,フェミニン,ガーリー</v>
      </c>
      <c r="L52" s="12"/>
    </row>
    <row r="53" customFormat="false" ht="16.5" hidden="false" customHeight="true" outlineLevel="0" collapsed="false">
      <c r="A53" s="11" t="s">
        <v>262</v>
      </c>
      <c r="B53" s="12" t="s">
        <v>263</v>
      </c>
      <c r="C53" s="13" t="n">
        <f aca="false">IF(A53="","",DATE(VALUE(LEFT(A53,4)),VALUE(MID(A53,5,2)),VALUE(MID(A53,7,2))))</f>
        <v>46223</v>
      </c>
      <c r="D53" s="15" t="s">
        <v>264</v>
      </c>
      <c r="E53" s="15" t="s">
        <v>265</v>
      </c>
      <c r="F53" s="12"/>
      <c r="G53" s="16" t="s">
        <v>33</v>
      </c>
      <c r="H53" s="16" t="s">
        <v>77</v>
      </c>
      <c r="I53" s="16" t="s">
        <v>52</v>
      </c>
      <c r="J53" s="16" t="s">
        <v>83</v>
      </c>
      <c r="K53" s="17" t="str">
        <f aca="false">IF(A53="","",_xlfn.TEXTJOIN(",",TRUE(),G53:J53))</f>
        <v>清楚,ナチュラル,カジュアル,和装</v>
      </c>
      <c r="L53" s="12"/>
    </row>
    <row r="54" customFormat="false" ht="16.5" hidden="false" customHeight="true" outlineLevel="0" collapsed="false">
      <c r="A54" s="11" t="s">
        <v>266</v>
      </c>
      <c r="B54" s="12" t="s">
        <v>267</v>
      </c>
      <c r="C54" s="13" t="n">
        <f aca="false">IF(A54="","",DATE(VALUE(LEFT(A54,4)),VALUE(MID(A54,5,2)),VALUE(MID(A54,7,2))))</f>
        <v>46223</v>
      </c>
      <c r="D54" s="15" t="s">
        <v>268</v>
      </c>
      <c r="E54" s="15" t="s">
        <v>269</v>
      </c>
      <c r="F54" s="12"/>
      <c r="G54" s="16" t="s">
        <v>46</v>
      </c>
      <c r="H54" s="16" t="s">
        <v>33</v>
      </c>
      <c r="I54" s="16" t="s">
        <v>34</v>
      </c>
      <c r="J54" s="16" t="s">
        <v>72</v>
      </c>
      <c r="K54" s="17" t="str">
        <f aca="false">IF(A54="","",_xlfn.TEXTJOIN(",",TRUE(),G54:J54))</f>
        <v>きれいめ,清楚,フェミニン,コスプレ</v>
      </c>
      <c r="L54" s="12"/>
    </row>
    <row r="55" customFormat="false" ht="16.5" hidden="false" customHeight="true" outlineLevel="0" collapsed="false">
      <c r="A55" s="11" t="s">
        <v>270</v>
      </c>
      <c r="B55" s="12" t="s">
        <v>271</v>
      </c>
      <c r="C55" s="13" t="n">
        <f aca="false">IF(A55="","",DATE(VALUE(LEFT(A55,4)),VALUE(MID(A55,5,2)),VALUE(MID(A55,7,2))))</f>
        <v>46223</v>
      </c>
      <c r="D55" s="15" t="s">
        <v>272</v>
      </c>
      <c r="E55" s="15" t="s">
        <v>273</v>
      </c>
      <c r="F55" s="12"/>
      <c r="G55" s="16" t="s">
        <v>41</v>
      </c>
      <c r="H55" s="16" t="s">
        <v>67</v>
      </c>
      <c r="I55" s="16" t="s">
        <v>35</v>
      </c>
      <c r="J55" s="16" t="s">
        <v>145</v>
      </c>
      <c r="K55" s="17" t="str">
        <f aca="false">IF(A55="","",_xlfn.TEXTJOIN(",",TRUE(),G55:J55))</f>
        <v>かわいい,セクシー,ガーリー,ギャル</v>
      </c>
      <c r="L55" s="12"/>
    </row>
    <row r="56" customFormat="false" ht="16.5" hidden="false" customHeight="true" outlineLevel="0" collapsed="false">
      <c r="A56" s="11" t="s">
        <v>274</v>
      </c>
      <c r="B56" s="12" t="s">
        <v>275</v>
      </c>
      <c r="C56" s="13" t="n">
        <f aca="false">IF(A56="","",DATE(VALUE(LEFT(A56,4)),VALUE(MID(A56,5,2)),VALUE(MID(A56,7,2))))</f>
        <v>46212</v>
      </c>
      <c r="D56" s="15" t="s">
        <v>276</v>
      </c>
      <c r="E56" s="15" t="s">
        <v>277</v>
      </c>
      <c r="F56" s="12"/>
      <c r="G56" s="16" t="s">
        <v>46</v>
      </c>
      <c r="H56" s="16" t="s">
        <v>53</v>
      </c>
      <c r="I56" s="16" t="s">
        <v>78</v>
      </c>
      <c r="J56" s="16" t="s">
        <v>115</v>
      </c>
      <c r="K56" s="17" t="str">
        <f aca="false">IF(A56="","",_xlfn.TEXTJOIN(",",TRUE(),G56:J56))</f>
        <v>きれいめ,クール,モード,ボーイッシュ</v>
      </c>
      <c r="L56" s="12"/>
    </row>
    <row r="57" customFormat="false" ht="16.5" hidden="false" customHeight="true" outlineLevel="0" collapsed="false">
      <c r="A57" s="11" t="s">
        <v>278</v>
      </c>
      <c r="B57" s="12" t="s">
        <v>279</v>
      </c>
      <c r="C57" s="13" t="n">
        <f aca="false">IF(A57="","",DATE(VALUE(LEFT(A57,4)),VALUE(MID(A57,5,2)),VALUE(MID(A57,7,2))))</f>
        <v>46212</v>
      </c>
      <c r="D57" s="15" t="s">
        <v>280</v>
      </c>
      <c r="E57" s="15" t="s">
        <v>281</v>
      </c>
      <c r="F57" s="12"/>
      <c r="G57" s="16" t="s">
        <v>33</v>
      </c>
      <c r="H57" s="16" t="s">
        <v>47</v>
      </c>
      <c r="I57" s="16" t="s">
        <v>77</v>
      </c>
      <c r="J57" s="16" t="s">
        <v>52</v>
      </c>
      <c r="K57" s="17" t="str">
        <f aca="false">IF(A57="","",_xlfn.TEXTJOIN(",",TRUE(),G57:J57))</f>
        <v>清楚,大人っぽい,ナチュラル,カジュアル</v>
      </c>
      <c r="L57" s="12"/>
    </row>
    <row r="58" customFormat="false" ht="16.5" hidden="false" customHeight="true" outlineLevel="0" collapsed="false">
      <c r="A58" s="11" t="s">
        <v>282</v>
      </c>
      <c r="B58" s="12" t="s">
        <v>283</v>
      </c>
      <c r="C58" s="13" t="n">
        <f aca="false">IF(A58="","",DATE(VALUE(LEFT(A58,4)),VALUE(MID(A58,5,2)),VALUE(MID(A58,7,2))))</f>
        <v>46212</v>
      </c>
      <c r="D58" s="15" t="s">
        <v>284</v>
      </c>
      <c r="E58" s="15" t="s">
        <v>285</v>
      </c>
      <c r="F58" s="12"/>
      <c r="G58" s="16" t="s">
        <v>33</v>
      </c>
      <c r="H58" s="16" t="s">
        <v>46</v>
      </c>
      <c r="I58" s="16" t="s">
        <v>53</v>
      </c>
      <c r="J58" s="16" t="s">
        <v>83</v>
      </c>
      <c r="K58" s="17" t="str">
        <f aca="false">IF(A58="","",_xlfn.TEXTJOIN(",",TRUE(),G58:J58))</f>
        <v>清楚,きれいめ,クール,和装</v>
      </c>
      <c r="L58" s="12"/>
    </row>
    <row r="59" customFormat="false" ht="16.5" hidden="false" customHeight="true" outlineLevel="0" collapsed="false">
      <c r="A59" s="11" t="s">
        <v>286</v>
      </c>
      <c r="B59" s="12" t="s">
        <v>287</v>
      </c>
      <c r="C59" s="13" t="n">
        <f aca="false">IF(A59="","",DATE(VALUE(LEFT(A59,4)),VALUE(MID(A59,5,2)),VALUE(MID(A59,7,2))))</f>
        <v>46206</v>
      </c>
      <c r="D59" s="15" t="s">
        <v>288</v>
      </c>
      <c r="E59" s="15" t="s">
        <v>289</v>
      </c>
      <c r="F59" s="12"/>
      <c r="G59" s="16" t="s">
        <v>41</v>
      </c>
      <c r="H59" s="16" t="s">
        <v>47</v>
      </c>
      <c r="I59" s="16" t="s">
        <v>35</v>
      </c>
      <c r="J59" s="16" t="s">
        <v>34</v>
      </c>
      <c r="K59" s="17" t="str">
        <f aca="false">IF(A59="","",_xlfn.TEXTJOIN(",",TRUE(),G59:J59))</f>
        <v>かわいい,大人っぽい,ガーリー,フェミニン</v>
      </c>
      <c r="L59" s="12"/>
    </row>
    <row r="60" customFormat="false" ht="16.5" hidden="false" customHeight="true" outlineLevel="0" collapsed="false">
      <c r="A60" s="11" t="s">
        <v>290</v>
      </c>
      <c r="B60" s="12" t="s">
        <v>291</v>
      </c>
      <c r="C60" s="13" t="n">
        <f aca="false">IF(A60="","",DATE(VALUE(LEFT(A60,4)),VALUE(MID(A60,5,2)),VALUE(MID(A60,7,2))))</f>
        <v>46206</v>
      </c>
      <c r="D60" s="15" t="s">
        <v>292</v>
      </c>
      <c r="E60" s="15" t="s">
        <v>293</v>
      </c>
      <c r="F60" s="15" t="s">
        <v>294</v>
      </c>
      <c r="G60" s="16" t="s">
        <v>46</v>
      </c>
      <c r="H60" s="16" t="s">
        <v>47</v>
      </c>
      <c r="I60" s="16" t="s">
        <v>67</v>
      </c>
      <c r="J60" s="16" t="s">
        <v>34</v>
      </c>
      <c r="K60" s="17" t="str">
        <f aca="false">IF(A60="","",_xlfn.TEXTJOIN(",",TRUE(),G60:J60))</f>
        <v>きれいめ,大人っぽい,セクシー,フェミニン</v>
      </c>
      <c r="L60" s="15"/>
    </row>
    <row r="61" customFormat="false" ht="16.5" hidden="false" customHeight="true" outlineLevel="0" collapsed="false">
      <c r="A61" s="11" t="s">
        <v>295</v>
      </c>
      <c r="B61" s="15" t="s">
        <v>296</v>
      </c>
      <c r="C61" s="13" t="n">
        <f aca="false">IF(A61="","",DATE(VALUE(LEFT(A61,4)),VALUE(MID(A61,5,2)),VALUE(MID(A61,7,2))))</f>
        <v>46206</v>
      </c>
      <c r="D61" s="15" t="s">
        <v>297</v>
      </c>
      <c r="E61" s="15" t="s">
        <v>298</v>
      </c>
      <c r="F61" s="12"/>
      <c r="G61" s="16" t="s">
        <v>41</v>
      </c>
      <c r="H61" s="16" t="s">
        <v>34</v>
      </c>
      <c r="I61" s="16" t="s">
        <v>54</v>
      </c>
      <c r="J61" s="16" t="s">
        <v>72</v>
      </c>
      <c r="K61" s="17" t="str">
        <f aca="false">IF(A61="","",_xlfn.TEXTJOIN(",",TRUE(),G61:J61))</f>
        <v>かわいい,フェミニン,サブカル,コスプレ</v>
      </c>
      <c r="L61" s="12"/>
    </row>
    <row r="62" customFormat="false" ht="16.5" hidden="false" customHeight="true" outlineLevel="0" collapsed="false">
      <c r="A62" s="11" t="s">
        <v>299</v>
      </c>
      <c r="B62" s="12" t="s">
        <v>300</v>
      </c>
      <c r="C62" s="13" t="n">
        <f aca="false">IF(A62="","",DATE(VALUE(LEFT(A62,4)),VALUE(MID(A62,5,2)),VALUE(MID(A62,7,2))))</f>
        <v>46206</v>
      </c>
      <c r="D62" s="15" t="s">
        <v>301</v>
      </c>
      <c r="E62" s="15" t="s">
        <v>302</v>
      </c>
      <c r="F62" s="12"/>
      <c r="G62" s="16" t="s">
        <v>41</v>
      </c>
      <c r="H62" s="16" t="s">
        <v>35</v>
      </c>
      <c r="I62" s="16" t="s">
        <v>54</v>
      </c>
      <c r="J62" s="16" t="s">
        <v>72</v>
      </c>
      <c r="K62" s="17" t="str">
        <f aca="false">IF(A62="","",_xlfn.TEXTJOIN(",",TRUE(),G62:J62))</f>
        <v>かわいい,ガーリー,サブカル,コスプレ</v>
      </c>
      <c r="L62" s="12"/>
    </row>
    <row r="63" customFormat="false" ht="16.5" hidden="false" customHeight="true" outlineLevel="0" collapsed="false">
      <c r="A63" s="11" t="s">
        <v>303</v>
      </c>
      <c r="B63" s="12" t="s">
        <v>304</v>
      </c>
      <c r="C63" s="13" t="n">
        <f aca="false">IF(A63="","",DATE(VALUE(LEFT(A63,4)),VALUE(MID(A63,5,2)),VALUE(MID(A63,7,2))))</f>
        <v>46203</v>
      </c>
      <c r="D63" s="15" t="s">
        <v>305</v>
      </c>
      <c r="E63" s="15" t="s">
        <v>306</v>
      </c>
      <c r="F63" s="12"/>
      <c r="G63" s="16" t="s">
        <v>41</v>
      </c>
      <c r="H63" s="16" t="s">
        <v>35</v>
      </c>
      <c r="I63" s="16" t="s">
        <v>77</v>
      </c>
      <c r="J63" s="16" t="s">
        <v>34</v>
      </c>
      <c r="K63" s="17" t="str">
        <f aca="false">IF(A63="","",_xlfn.TEXTJOIN(",",TRUE(),G63:J63))</f>
        <v>かわいい,ガーリー,ナチュラル,フェミニン</v>
      </c>
      <c r="L63" s="12"/>
    </row>
    <row r="64" customFormat="false" ht="16.5" hidden="false" customHeight="true" outlineLevel="0" collapsed="false">
      <c r="A64" s="11" t="s">
        <v>307</v>
      </c>
      <c r="B64" s="12" t="s">
        <v>308</v>
      </c>
      <c r="C64" s="13" t="n">
        <f aca="false">IF(A64="","",DATE(VALUE(LEFT(A64,4)),VALUE(MID(A64,5,2)),VALUE(MID(A64,7,2))))</f>
        <v>46203</v>
      </c>
      <c r="D64" s="15" t="s">
        <v>309</v>
      </c>
      <c r="E64" s="15" t="s">
        <v>310</v>
      </c>
      <c r="F64" s="12"/>
      <c r="G64" s="16" t="s">
        <v>77</v>
      </c>
      <c r="H64" s="16" t="s">
        <v>35</v>
      </c>
      <c r="I64" s="16" t="s">
        <v>54</v>
      </c>
      <c r="J64" s="16" t="s">
        <v>72</v>
      </c>
      <c r="K64" s="17" t="str">
        <f aca="false">IF(A64="","",_xlfn.TEXTJOIN(",",TRUE(),G64:J64))</f>
        <v>ナチュラル,ガーリー,サブカル,コスプレ</v>
      </c>
      <c r="L64" s="12"/>
    </row>
    <row r="65" customFormat="false" ht="16.5" hidden="false" customHeight="true" outlineLevel="0" collapsed="false">
      <c r="A65" s="11" t="s">
        <v>311</v>
      </c>
      <c r="B65" s="15" t="s">
        <v>312</v>
      </c>
      <c r="C65" s="13" t="n">
        <f aca="false">IF(A65="","",DATE(VALUE(LEFT(A65,4)),VALUE(MID(A65,5,2)),VALUE(MID(A65,7,2))))</f>
        <v>46203</v>
      </c>
      <c r="D65" s="15" t="s">
        <v>313</v>
      </c>
      <c r="E65" s="15" t="s">
        <v>314</v>
      </c>
      <c r="F65" s="15" t="s">
        <v>315</v>
      </c>
      <c r="G65" s="16" t="s">
        <v>78</v>
      </c>
      <c r="H65" s="16" t="s">
        <v>77</v>
      </c>
      <c r="I65" s="16" t="s">
        <v>54</v>
      </c>
      <c r="J65" s="16" t="s">
        <v>72</v>
      </c>
      <c r="K65" s="17" t="str">
        <f aca="false">IF(A65="","",_xlfn.TEXTJOIN(",",TRUE(),G65:J65))</f>
        <v>モード,ナチュラル,サブカル,コスプレ</v>
      </c>
      <c r="L65" s="12"/>
    </row>
    <row r="66" customFormat="false" ht="16.5" hidden="false" customHeight="true" outlineLevel="0" collapsed="false">
      <c r="A66" s="11" t="s">
        <v>316</v>
      </c>
      <c r="B66" s="12" t="s">
        <v>317</v>
      </c>
      <c r="C66" s="13" t="n">
        <f aca="false">IF(A66="","",DATE(VALUE(LEFT(A66,4)),VALUE(MID(A66,5,2)),VALUE(MID(A66,7,2))))</f>
        <v>46203</v>
      </c>
      <c r="D66" s="15" t="s">
        <v>318</v>
      </c>
      <c r="E66" s="15" t="s">
        <v>319</v>
      </c>
      <c r="F66" s="12"/>
      <c r="G66" s="16" t="s">
        <v>47</v>
      </c>
      <c r="H66" s="16" t="s">
        <v>67</v>
      </c>
      <c r="I66" s="16" t="s">
        <v>53</v>
      </c>
      <c r="J66" s="16" t="s">
        <v>145</v>
      </c>
      <c r="K66" s="17" t="str">
        <f aca="false">IF(A66="","",_xlfn.TEXTJOIN(",",TRUE(),G66:J66))</f>
        <v>大人っぽい,セクシー,クール,ギャル</v>
      </c>
      <c r="L66" s="12"/>
    </row>
    <row r="67" customFormat="false" ht="16.5" hidden="false" customHeight="true" outlineLevel="0" collapsed="false">
      <c r="A67" s="11" t="s">
        <v>320</v>
      </c>
      <c r="B67" s="12" t="s">
        <v>321</v>
      </c>
      <c r="C67" s="13" t="n">
        <f aca="false">IF(A67="","",DATE(VALUE(LEFT(A67,4)),VALUE(MID(A67,5,2)),VALUE(MID(A67,7,2))))</f>
        <v>46203</v>
      </c>
      <c r="D67" s="15" t="s">
        <v>322</v>
      </c>
      <c r="E67" s="15" t="s">
        <v>323</v>
      </c>
      <c r="F67" s="15" t="s">
        <v>324</v>
      </c>
      <c r="G67" s="16" t="s">
        <v>33</v>
      </c>
      <c r="H67" s="16" t="s">
        <v>41</v>
      </c>
      <c r="I67" s="16" t="s">
        <v>35</v>
      </c>
      <c r="J67" s="16" t="s">
        <v>34</v>
      </c>
      <c r="K67" s="17" t="str">
        <f aca="false">IF(A67="","",_xlfn.TEXTJOIN(",",TRUE(),G67:J67))</f>
        <v>清楚,かわいい,ガーリー,フェミニン</v>
      </c>
      <c r="L67" s="12"/>
    </row>
    <row r="68" customFormat="false" ht="16.5" hidden="false" customHeight="true" outlineLevel="0" collapsed="false">
      <c r="A68" s="11" t="s">
        <v>325</v>
      </c>
      <c r="B68" s="15" t="s">
        <v>326</v>
      </c>
      <c r="C68" s="13" t="n">
        <f aca="false">IF(A68="","",DATE(VALUE(LEFT(A68,4)),VALUE(MID(A68,5,2)),VALUE(MID(A68,7,2))))</f>
        <v>46203</v>
      </c>
      <c r="D68" s="15" t="s">
        <v>327</v>
      </c>
      <c r="E68" s="15" t="s">
        <v>328</v>
      </c>
      <c r="F68" s="12"/>
      <c r="G68" s="16" t="s">
        <v>46</v>
      </c>
      <c r="H68" s="16" t="s">
        <v>33</v>
      </c>
      <c r="I68" s="16" t="s">
        <v>47</v>
      </c>
      <c r="J68" s="16" t="s">
        <v>83</v>
      </c>
      <c r="K68" s="17" t="str">
        <f aca="false">IF(A68="","",_xlfn.TEXTJOIN(",",TRUE(),G68:J68))</f>
        <v>きれいめ,清楚,大人っぽい,和装</v>
      </c>
      <c r="L68" s="12"/>
    </row>
    <row r="69" customFormat="false" ht="16.5" hidden="false" customHeight="true" outlineLevel="0" collapsed="false">
      <c r="A69" s="11" t="s">
        <v>329</v>
      </c>
      <c r="B69" s="12" t="s">
        <v>330</v>
      </c>
      <c r="C69" s="13" t="n">
        <f aca="false">IF(A69="","",DATE(VALUE(LEFT(A69,4)),VALUE(MID(A69,5,2)),VALUE(MID(A69,7,2))))</f>
        <v>46203</v>
      </c>
      <c r="D69" s="15" t="s">
        <v>331</v>
      </c>
      <c r="E69" s="15" t="s">
        <v>332</v>
      </c>
      <c r="F69" s="12"/>
      <c r="G69" s="16" t="s">
        <v>53</v>
      </c>
      <c r="H69" s="16" t="s">
        <v>115</v>
      </c>
      <c r="I69" s="16" t="s">
        <v>78</v>
      </c>
      <c r="J69" s="16" t="s">
        <v>52</v>
      </c>
      <c r="K69" s="17" t="str">
        <f aca="false">IF(A69="","",_xlfn.TEXTJOIN(",",TRUE(),G69:J69))</f>
        <v>クール,ボーイッシュ,モード,カジュアル</v>
      </c>
      <c r="L69" s="12"/>
    </row>
    <row r="70" customFormat="false" ht="16.5" hidden="false" customHeight="true" outlineLevel="0" collapsed="false">
      <c r="A70" s="11" t="s">
        <v>333</v>
      </c>
      <c r="B70" s="12" t="s">
        <v>334</v>
      </c>
      <c r="C70" s="13" t="n">
        <f aca="false">IF(A70="","",DATE(VALUE(LEFT(A70,4)),VALUE(MID(A70,5,2)),VALUE(MID(A70,7,2))))</f>
        <v>46203</v>
      </c>
      <c r="D70" s="15" t="s">
        <v>335</v>
      </c>
      <c r="E70" s="15" t="s">
        <v>336</v>
      </c>
      <c r="F70" s="12"/>
      <c r="G70" s="16" t="s">
        <v>41</v>
      </c>
      <c r="H70" s="16" t="s">
        <v>35</v>
      </c>
      <c r="I70" s="16" t="s">
        <v>34</v>
      </c>
      <c r="J70" s="16" t="s">
        <v>77</v>
      </c>
      <c r="K70" s="17" t="str">
        <f aca="false">IF(A70="","",_xlfn.TEXTJOIN(",",TRUE(),G70:J70))</f>
        <v>かわいい,ガーリー,フェミニン,ナチュラル</v>
      </c>
      <c r="L70" s="12"/>
    </row>
    <row r="71" customFormat="false" ht="16.5" hidden="false" customHeight="true" outlineLevel="0" collapsed="false">
      <c r="A71" s="11" t="s">
        <v>337</v>
      </c>
      <c r="B71" s="12" t="s">
        <v>338</v>
      </c>
      <c r="C71" s="13" t="n">
        <f aca="false">IF(A71="","",DATE(VALUE(LEFT(A71,4)),VALUE(MID(A71,5,2)),VALUE(MID(A71,7,2))))</f>
        <v>46203</v>
      </c>
      <c r="D71" s="15" t="s">
        <v>339</v>
      </c>
      <c r="E71" s="15" t="s">
        <v>340</v>
      </c>
      <c r="F71" s="15" t="s">
        <v>341</v>
      </c>
      <c r="G71" s="16" t="s">
        <v>41</v>
      </c>
      <c r="H71" s="16" t="s">
        <v>35</v>
      </c>
      <c r="I71" s="16" t="s">
        <v>52</v>
      </c>
      <c r="J71" s="16" t="s">
        <v>145</v>
      </c>
      <c r="K71" s="17" t="str">
        <f aca="false">IF(A71="","",_xlfn.TEXTJOIN(",",TRUE(),G71:J71))</f>
        <v>かわいい,ガーリー,カジュアル,ギャル</v>
      </c>
      <c r="L71" s="12"/>
    </row>
    <row r="72" customFormat="false" ht="16.5" hidden="false" customHeight="true" outlineLevel="0" collapsed="false">
      <c r="A72" s="11" t="s">
        <v>342</v>
      </c>
      <c r="B72" s="12" t="s">
        <v>343</v>
      </c>
      <c r="C72" s="13" t="n">
        <f aca="false">IF(A72="","",DATE(VALUE(LEFT(A72,4)),VALUE(MID(A72,5,2)),VALUE(MID(A72,7,2))))</f>
        <v>46202</v>
      </c>
      <c r="D72" s="15" t="s">
        <v>344</v>
      </c>
      <c r="E72" s="15" t="s">
        <v>345</v>
      </c>
      <c r="F72" s="12"/>
      <c r="G72" s="16" t="s">
        <v>41</v>
      </c>
      <c r="H72" s="16" t="s">
        <v>35</v>
      </c>
      <c r="I72" s="16" t="s">
        <v>54</v>
      </c>
      <c r="J72" s="16" t="s">
        <v>72</v>
      </c>
      <c r="K72" s="17" t="str">
        <f aca="false">IF(A72="","",_xlfn.TEXTJOIN(",",TRUE(),G72:J72))</f>
        <v>かわいい,ガーリー,サブカル,コスプレ</v>
      </c>
      <c r="L72" s="12"/>
    </row>
    <row r="73" customFormat="false" ht="16.5" hidden="false" customHeight="true" outlineLevel="0" collapsed="false">
      <c r="A73" s="11" t="s">
        <v>346</v>
      </c>
      <c r="B73" s="15" t="s">
        <v>347</v>
      </c>
      <c r="C73" s="13" t="n">
        <f aca="false">IF(A73="","",DATE(VALUE(LEFT(A73,4)),VALUE(MID(A73,5,2)),VALUE(MID(A73,7,2))))</f>
        <v>46198</v>
      </c>
      <c r="D73" s="15" t="s">
        <v>348</v>
      </c>
      <c r="E73" s="15" t="s">
        <v>349</v>
      </c>
      <c r="F73" s="12"/>
      <c r="G73" s="16" t="s">
        <v>41</v>
      </c>
      <c r="H73" s="16" t="s">
        <v>35</v>
      </c>
      <c r="I73" s="16" t="s">
        <v>33</v>
      </c>
      <c r="J73" s="16" t="s">
        <v>54</v>
      </c>
      <c r="K73" s="17" t="str">
        <f aca="false">IF(A73="","",_xlfn.TEXTJOIN(",",TRUE(),G73:J73))</f>
        <v>かわいい,ガーリー,清楚,サブカル</v>
      </c>
      <c r="L73" s="12"/>
    </row>
    <row r="74" customFormat="false" ht="16.5" hidden="false" customHeight="true" outlineLevel="0" collapsed="false">
      <c r="A74" s="11" t="s">
        <v>350</v>
      </c>
      <c r="B74" s="12" t="s">
        <v>107</v>
      </c>
      <c r="C74" s="13" t="n">
        <f aca="false">IF(A74="","",DATE(VALUE(LEFT(A74,4)),VALUE(MID(A74,5,2)),VALUE(MID(A74,7,2))))</f>
        <v>46198</v>
      </c>
      <c r="D74" s="15" t="s">
        <v>351</v>
      </c>
      <c r="E74" s="15" t="s">
        <v>352</v>
      </c>
      <c r="F74" s="12"/>
      <c r="G74" s="16" t="s">
        <v>34</v>
      </c>
      <c r="H74" s="16" t="s">
        <v>35</v>
      </c>
      <c r="I74" s="16" t="s">
        <v>88</v>
      </c>
      <c r="J74" s="16" t="s">
        <v>54</v>
      </c>
      <c r="K74" s="17" t="str">
        <f aca="false">IF(A74="","",_xlfn.TEXTJOIN(",",TRUE(),G74:J74))</f>
        <v>フェミニン,ガーリー,ゴス・地雷,サブカル</v>
      </c>
      <c r="L74" s="12"/>
    </row>
    <row r="75" customFormat="false" ht="16.5" hidden="false" customHeight="true" outlineLevel="0" collapsed="false">
      <c r="A75" s="11" t="s">
        <v>353</v>
      </c>
      <c r="B75" s="12" t="s">
        <v>354</v>
      </c>
      <c r="C75" s="13" t="n">
        <f aca="false">IF(A75="","",DATE(VALUE(LEFT(A75,4)),VALUE(MID(A75,5,2)),VALUE(MID(A75,7,2))))</f>
        <v>46198</v>
      </c>
      <c r="D75" s="15" t="s">
        <v>355</v>
      </c>
      <c r="E75" s="15" t="s">
        <v>356</v>
      </c>
      <c r="F75" s="15" t="s">
        <v>357</v>
      </c>
      <c r="G75" s="16" t="s">
        <v>46</v>
      </c>
      <c r="H75" s="16" t="s">
        <v>33</v>
      </c>
      <c r="I75" s="16" t="s">
        <v>77</v>
      </c>
      <c r="J75" s="16" t="s">
        <v>34</v>
      </c>
      <c r="K75" s="17" t="str">
        <f aca="false">IF(A75="","",_xlfn.TEXTJOIN(",",TRUE(),G75:J75))</f>
        <v>きれいめ,清楚,ナチュラル,フェミニン</v>
      </c>
      <c r="L75" s="12"/>
    </row>
    <row r="76" customFormat="false" ht="16.5" hidden="false" customHeight="true" outlineLevel="0" collapsed="false">
      <c r="A76" s="11" t="s">
        <v>358</v>
      </c>
      <c r="B76" s="12" t="s">
        <v>359</v>
      </c>
      <c r="C76" s="13" t="n">
        <f aca="false">IF(A76="","",DATE(VALUE(LEFT(A76,4)),VALUE(MID(A76,5,2)),VALUE(MID(A76,7,2))))</f>
        <v>46198</v>
      </c>
      <c r="D76" s="15" t="s">
        <v>360</v>
      </c>
      <c r="E76" s="15" t="s">
        <v>361</v>
      </c>
      <c r="F76" s="15" t="s">
        <v>362</v>
      </c>
      <c r="G76" s="16" t="s">
        <v>47</v>
      </c>
      <c r="H76" s="16" t="s">
        <v>53</v>
      </c>
      <c r="I76" s="16" t="s">
        <v>67</v>
      </c>
      <c r="J76" s="16" t="s">
        <v>145</v>
      </c>
      <c r="K76" s="17" t="str">
        <f aca="false">IF(A76="","",_xlfn.TEXTJOIN(",",TRUE(),G76:J76))</f>
        <v>大人っぽい,クール,セクシー,ギャル</v>
      </c>
      <c r="L76" s="12"/>
    </row>
    <row r="77" customFormat="false" ht="16.5" hidden="false" customHeight="true" outlineLevel="0" collapsed="false">
      <c r="A77" s="11" t="s">
        <v>363</v>
      </c>
      <c r="B77" s="12" t="s">
        <v>364</v>
      </c>
      <c r="C77" s="13" t="n">
        <f aca="false">IF(A77="","",DATE(VALUE(LEFT(A77,4)),VALUE(MID(A77,5,2)),VALUE(MID(A77,7,2))))</f>
        <v>46198</v>
      </c>
      <c r="D77" s="15" t="s">
        <v>365</v>
      </c>
      <c r="E77" s="15" t="s">
        <v>366</v>
      </c>
      <c r="F77" s="12"/>
      <c r="G77" s="16" t="s">
        <v>41</v>
      </c>
      <c r="H77" s="16" t="s">
        <v>35</v>
      </c>
      <c r="I77" s="16" t="s">
        <v>88</v>
      </c>
      <c r="J77" s="16" t="s">
        <v>54</v>
      </c>
      <c r="K77" s="17" t="str">
        <f aca="false">IF(A77="","",_xlfn.TEXTJOIN(",",TRUE(),G77:J77))</f>
        <v>かわいい,ガーリー,ゴス・地雷,サブカル</v>
      </c>
      <c r="L77" s="12"/>
    </row>
    <row r="78" customFormat="false" ht="16.5" hidden="false" customHeight="true" outlineLevel="0" collapsed="false">
      <c r="A78" s="11" t="s">
        <v>367</v>
      </c>
      <c r="B78" s="12" t="s">
        <v>368</v>
      </c>
      <c r="C78" s="13" t="n">
        <f aca="false">IF(A78="","",DATE(VALUE(LEFT(A78,4)),VALUE(MID(A78,5,2)),VALUE(MID(A78,7,2))))</f>
        <v>46198</v>
      </c>
      <c r="D78" s="15" t="s">
        <v>369</v>
      </c>
      <c r="E78" s="15" t="s">
        <v>370</v>
      </c>
      <c r="F78" s="12"/>
      <c r="G78" s="16" t="s">
        <v>77</v>
      </c>
      <c r="H78" s="16" t="s">
        <v>34</v>
      </c>
      <c r="I78" s="16" t="s">
        <v>35</v>
      </c>
      <c r="J78" s="16" t="s">
        <v>72</v>
      </c>
      <c r="K78" s="17" t="str">
        <f aca="false">IF(A78="","",_xlfn.TEXTJOIN(",",TRUE(),G78:J78))</f>
        <v>ナチュラル,フェミニン,ガーリー,コスプレ</v>
      </c>
      <c r="L78" s="12"/>
    </row>
    <row r="79" customFormat="false" ht="16.5" hidden="false" customHeight="true" outlineLevel="0" collapsed="false">
      <c r="A79" s="11" t="s">
        <v>371</v>
      </c>
      <c r="B79" s="12" t="s">
        <v>372</v>
      </c>
      <c r="C79" s="13" t="n">
        <f aca="false">IF(A79="","",DATE(VALUE(LEFT(A79,4)),VALUE(MID(A79,5,2)),VALUE(MID(A79,7,2))))</f>
        <v>46197</v>
      </c>
      <c r="D79" s="15" t="s">
        <v>373</v>
      </c>
      <c r="E79" s="15" t="s">
        <v>374</v>
      </c>
      <c r="F79" s="12"/>
      <c r="G79" s="16" t="s">
        <v>77</v>
      </c>
      <c r="H79" s="16" t="s">
        <v>46</v>
      </c>
      <c r="I79" s="16" t="s">
        <v>52</v>
      </c>
      <c r="J79" s="16" t="s">
        <v>67</v>
      </c>
      <c r="K79" s="17" t="str">
        <f aca="false">IF(A79="","",_xlfn.TEXTJOIN(",",TRUE(),G79:J79))</f>
        <v>ナチュラル,きれいめ,カジュアル,セクシー</v>
      </c>
      <c r="L79" s="12"/>
    </row>
    <row r="80" customFormat="false" ht="16.5" hidden="false" customHeight="true" outlineLevel="0" collapsed="false">
      <c r="A80" s="11" t="s">
        <v>375</v>
      </c>
      <c r="B80" s="12" t="s">
        <v>376</v>
      </c>
      <c r="C80" s="13" t="n">
        <f aca="false">IF(A80="","",DATE(VALUE(LEFT(A80,4)),VALUE(MID(A80,5,2)),VALUE(MID(A80,7,2))))</f>
        <v>46193</v>
      </c>
      <c r="D80" s="15" t="s">
        <v>377</v>
      </c>
      <c r="E80" s="15" t="s">
        <v>378</v>
      </c>
      <c r="F80" s="12"/>
      <c r="G80" s="16" t="s">
        <v>41</v>
      </c>
      <c r="H80" s="16" t="s">
        <v>35</v>
      </c>
      <c r="I80" s="16" t="s">
        <v>52</v>
      </c>
      <c r="J80" s="16" t="s">
        <v>54</v>
      </c>
      <c r="K80" s="17" t="str">
        <f aca="false">IF(A80="","",_xlfn.TEXTJOIN(",",TRUE(),G80:J80))</f>
        <v>かわいい,ガーリー,カジュアル,サブカル</v>
      </c>
      <c r="L80" s="12"/>
    </row>
    <row r="81" customFormat="false" ht="16.5" hidden="false" customHeight="true" outlineLevel="0" collapsed="false">
      <c r="A81" s="11" t="s">
        <v>379</v>
      </c>
      <c r="B81" s="12" t="s">
        <v>380</v>
      </c>
      <c r="C81" s="13" t="n">
        <f aca="false">IF(A81="","",DATE(VALUE(LEFT(A81,4)),VALUE(MID(A81,5,2)),VALUE(MID(A81,7,2))))</f>
        <v>46193</v>
      </c>
      <c r="D81" s="15" t="s">
        <v>381</v>
      </c>
      <c r="E81" s="15" t="s">
        <v>382</v>
      </c>
      <c r="F81" s="12"/>
      <c r="G81" s="16" t="s">
        <v>46</v>
      </c>
      <c r="H81" s="16" t="s">
        <v>33</v>
      </c>
      <c r="I81" s="16" t="s">
        <v>72</v>
      </c>
      <c r="J81" s="16" t="s">
        <v>83</v>
      </c>
      <c r="K81" s="17" t="str">
        <f aca="false">IF(A81="","",_xlfn.TEXTJOIN(",",TRUE(),G81:J81))</f>
        <v>きれいめ,清楚,コスプレ,和装</v>
      </c>
      <c r="L81" s="12"/>
    </row>
    <row r="82" customFormat="false" ht="16.5" hidden="false" customHeight="true" outlineLevel="0" collapsed="false">
      <c r="A82" s="11" t="s">
        <v>383</v>
      </c>
      <c r="B82" s="12" t="s">
        <v>384</v>
      </c>
      <c r="C82" s="13" t="n">
        <f aca="false">IF(A82="","",DATE(VALUE(LEFT(A82,4)),VALUE(MID(A82,5,2)),VALUE(MID(A82,7,2))))</f>
        <v>46185</v>
      </c>
      <c r="D82" s="15" t="s">
        <v>385</v>
      </c>
      <c r="E82" s="15" t="s">
        <v>386</v>
      </c>
      <c r="F82" s="12"/>
      <c r="G82" s="16" t="s">
        <v>41</v>
      </c>
      <c r="H82" s="16" t="s">
        <v>33</v>
      </c>
      <c r="I82" s="16" t="s">
        <v>72</v>
      </c>
      <c r="J82" s="16" t="s">
        <v>54</v>
      </c>
      <c r="K82" s="17" t="str">
        <f aca="false">IF(A82="","",_xlfn.TEXTJOIN(",",TRUE(),G82:J82))</f>
        <v>かわいい,清楚,コスプレ,サブカル</v>
      </c>
      <c r="L82" s="12"/>
    </row>
    <row r="83" customFormat="false" ht="16.5" hidden="false" customHeight="true" outlineLevel="0" collapsed="false">
      <c r="A83" s="11" t="s">
        <v>387</v>
      </c>
      <c r="B83" s="12" t="s">
        <v>388</v>
      </c>
      <c r="C83" s="13" t="n">
        <f aca="false">IF(A83="","",DATE(VALUE(LEFT(A83,4)),VALUE(MID(A83,5,2)),VALUE(MID(A83,7,2))))</f>
        <v>46185</v>
      </c>
      <c r="D83" s="15" t="s">
        <v>389</v>
      </c>
      <c r="E83" s="15" t="s">
        <v>390</v>
      </c>
      <c r="F83" s="15" t="s">
        <v>391</v>
      </c>
      <c r="G83" s="16" t="s">
        <v>41</v>
      </c>
      <c r="H83" s="16" t="s">
        <v>77</v>
      </c>
      <c r="I83" s="16" t="s">
        <v>52</v>
      </c>
      <c r="J83" s="16" t="s">
        <v>67</v>
      </c>
      <c r="K83" s="17" t="str">
        <f aca="false">IF(A83="","",_xlfn.TEXTJOIN(",",TRUE(),G83:J83))</f>
        <v>かわいい,ナチュラル,カジュアル,セクシー</v>
      </c>
      <c r="L83" s="12"/>
    </row>
    <row r="84" customFormat="false" ht="16.5" hidden="false" customHeight="true" outlineLevel="0" collapsed="false">
      <c r="A84" s="11" t="s">
        <v>392</v>
      </c>
      <c r="B84" s="12" t="s">
        <v>393</v>
      </c>
      <c r="C84" s="13" t="n">
        <f aca="false">IF(A84="","",DATE(VALUE(LEFT(A84,4)),VALUE(MID(A84,5,2)),VALUE(MID(A84,7,2))))</f>
        <v>46185</v>
      </c>
      <c r="D84" s="15" t="s">
        <v>394</v>
      </c>
      <c r="E84" s="15" t="s">
        <v>395</v>
      </c>
      <c r="F84" s="15" t="s">
        <v>396</v>
      </c>
      <c r="G84" s="16" t="s">
        <v>46</v>
      </c>
      <c r="H84" s="16" t="s">
        <v>33</v>
      </c>
      <c r="I84" s="16" t="s">
        <v>67</v>
      </c>
      <c r="J84" s="16" t="s">
        <v>34</v>
      </c>
      <c r="K84" s="17" t="str">
        <f aca="false">IF(A84="","",_xlfn.TEXTJOIN(",",TRUE(),G84:J84))</f>
        <v>きれいめ,清楚,セクシー,フェミニン</v>
      </c>
      <c r="L84" s="12"/>
    </row>
    <row r="85" customFormat="false" ht="16.5" hidden="false" customHeight="true" outlineLevel="0" collapsed="false">
      <c r="A85" s="11" t="s">
        <v>397</v>
      </c>
      <c r="B85" s="12" t="s">
        <v>398</v>
      </c>
      <c r="C85" s="13" t="n">
        <f aca="false">IF(A85="","",DATE(VALUE(LEFT(A85,4)),VALUE(MID(A85,5,2)),VALUE(MID(A85,7,2))))</f>
        <v>46184</v>
      </c>
      <c r="D85" s="15" t="s">
        <v>399</v>
      </c>
      <c r="E85" s="15" t="s">
        <v>400</v>
      </c>
      <c r="F85" s="12"/>
      <c r="G85" s="16" t="s">
        <v>41</v>
      </c>
      <c r="H85" s="16" t="s">
        <v>35</v>
      </c>
      <c r="I85" s="16" t="s">
        <v>54</v>
      </c>
      <c r="J85" s="16" t="s">
        <v>88</v>
      </c>
      <c r="K85" s="17" t="str">
        <f aca="false">IF(A85="","",_xlfn.TEXTJOIN(",",TRUE(),G85:J85))</f>
        <v>かわいい,ガーリー,サブカル,ゴス・地雷</v>
      </c>
      <c r="L85" s="12"/>
    </row>
    <row r="86" customFormat="false" ht="16.5" hidden="false" customHeight="true" outlineLevel="0" collapsed="false">
      <c r="A86" s="11" t="s">
        <v>401</v>
      </c>
      <c r="B86" s="12" t="s">
        <v>402</v>
      </c>
      <c r="C86" s="13" t="n">
        <f aca="false">IF(A86="","",DATE(VALUE(LEFT(A86,4)),VALUE(MID(A86,5,2)),VALUE(MID(A86,7,2))))</f>
        <v>46181</v>
      </c>
      <c r="D86" s="15" t="s">
        <v>403</v>
      </c>
      <c r="E86" s="15" t="s">
        <v>404</v>
      </c>
      <c r="F86" s="12"/>
      <c r="G86" s="16" t="s">
        <v>34</v>
      </c>
      <c r="H86" s="16" t="s">
        <v>35</v>
      </c>
      <c r="I86" s="16" t="s">
        <v>41</v>
      </c>
      <c r="J86" s="16" t="s">
        <v>46</v>
      </c>
      <c r="K86" s="17" t="str">
        <f aca="false">IF(A86="","",_xlfn.TEXTJOIN(",",TRUE(),G86:J86))</f>
        <v>フェミニン,ガーリー,かわいい,きれいめ</v>
      </c>
      <c r="L86" s="12"/>
    </row>
    <row r="87" customFormat="false" ht="16.5" hidden="false" customHeight="true" outlineLevel="0" collapsed="false">
      <c r="A87" s="11" t="s">
        <v>405</v>
      </c>
      <c r="B87" s="12" t="s">
        <v>406</v>
      </c>
      <c r="C87" s="13" t="n">
        <f aca="false">IF(A87="","",DATE(VALUE(LEFT(A87,4)),VALUE(MID(A87,5,2)),VALUE(MID(A87,7,2))))</f>
        <v>46181</v>
      </c>
      <c r="D87" s="15" t="s">
        <v>407</v>
      </c>
      <c r="E87" s="15" t="s">
        <v>408</v>
      </c>
      <c r="F87" s="12"/>
      <c r="G87" s="16" t="s">
        <v>41</v>
      </c>
      <c r="H87" s="16" t="s">
        <v>145</v>
      </c>
      <c r="I87" s="16" t="s">
        <v>36</v>
      </c>
      <c r="J87" s="16" t="s">
        <v>168</v>
      </c>
      <c r="K87" s="17" t="str">
        <f aca="false">IF(A87="","",_xlfn.TEXTJOIN(",",TRUE(),G87:J87))</f>
        <v>かわいい,ギャル,レトロ,韓国風</v>
      </c>
      <c r="L87" s="12"/>
    </row>
    <row r="88" customFormat="false" ht="16.5" hidden="false" customHeight="true" outlineLevel="0" collapsed="false">
      <c r="A88" s="11" t="s">
        <v>409</v>
      </c>
      <c r="B88" s="12" t="s">
        <v>410</v>
      </c>
      <c r="C88" s="13" t="n">
        <f aca="false">IF(A88="","",DATE(VALUE(LEFT(A88,4)),VALUE(MID(A88,5,2)),VALUE(MID(A88,7,2))))</f>
        <v>46181</v>
      </c>
      <c r="D88" s="15" t="s">
        <v>411</v>
      </c>
      <c r="E88" s="15" t="s">
        <v>412</v>
      </c>
      <c r="F88" s="12"/>
      <c r="G88" s="16" t="s">
        <v>41</v>
      </c>
      <c r="H88" s="16" t="s">
        <v>34</v>
      </c>
      <c r="I88" s="16" t="s">
        <v>35</v>
      </c>
      <c r="J88" s="16" t="s">
        <v>54</v>
      </c>
      <c r="K88" s="17" t="str">
        <f aca="false">IF(A88="","",_xlfn.TEXTJOIN(",",TRUE(),G88:J88))</f>
        <v>かわいい,フェミニン,ガーリー,サブカル</v>
      </c>
      <c r="L88" s="12"/>
    </row>
    <row r="89" customFormat="false" ht="16.5" hidden="false" customHeight="true" outlineLevel="0" collapsed="false">
      <c r="A89" s="11" t="s">
        <v>413</v>
      </c>
      <c r="B89" s="12" t="s">
        <v>414</v>
      </c>
      <c r="C89" s="13" t="n">
        <f aca="false">IF(A89="","",DATE(VALUE(LEFT(A89,4)),VALUE(MID(A89,5,2)),VALUE(MID(A89,7,2))))</f>
        <v>46174</v>
      </c>
      <c r="D89" s="15" t="s">
        <v>415</v>
      </c>
      <c r="E89" s="15" t="s">
        <v>416</v>
      </c>
      <c r="F89" s="12"/>
      <c r="G89" s="16" t="s">
        <v>46</v>
      </c>
      <c r="H89" s="16" t="s">
        <v>47</v>
      </c>
      <c r="I89" s="16" t="s">
        <v>53</v>
      </c>
      <c r="J89" s="16" t="s">
        <v>145</v>
      </c>
      <c r="K89" s="17" t="str">
        <f aca="false">IF(A89="","",_xlfn.TEXTJOIN(",",TRUE(),G89:J89))</f>
        <v>きれいめ,大人っぽい,クール,ギャル</v>
      </c>
      <c r="L89" s="12"/>
    </row>
    <row r="90" customFormat="false" ht="16.5" hidden="false" customHeight="true" outlineLevel="0" collapsed="false">
      <c r="A90" s="11" t="s">
        <v>417</v>
      </c>
      <c r="B90" s="12" t="s">
        <v>418</v>
      </c>
      <c r="C90" s="13" t="n">
        <f aca="false">IF(A90="","",DATE(VALUE(LEFT(A90,4)),VALUE(MID(A90,5,2)),VALUE(MID(A90,7,2))))</f>
        <v>46170</v>
      </c>
      <c r="D90" s="15" t="s">
        <v>419</v>
      </c>
      <c r="E90" s="15" t="s">
        <v>420</v>
      </c>
      <c r="F90" s="12"/>
      <c r="G90" s="16" t="s">
        <v>77</v>
      </c>
      <c r="H90" s="16" t="s">
        <v>33</v>
      </c>
      <c r="I90" s="16" t="s">
        <v>52</v>
      </c>
      <c r="J90" s="16" t="s">
        <v>78</v>
      </c>
      <c r="K90" s="17" t="str">
        <f aca="false">IF(A90="","",_xlfn.TEXTJOIN(",",TRUE(),G90:J90))</f>
        <v>ナチュラル,清楚,カジュアル,モード</v>
      </c>
      <c r="L90" s="12"/>
    </row>
    <row r="91" customFormat="false" ht="16.5" hidden="false" customHeight="true" outlineLevel="0" collapsed="false">
      <c r="A91" s="11" t="s">
        <v>421</v>
      </c>
      <c r="B91" s="12" t="s">
        <v>422</v>
      </c>
      <c r="C91" s="13" t="n">
        <f aca="false">IF(A91="","",DATE(VALUE(LEFT(A91,4)),VALUE(MID(A91,5,2)),VALUE(MID(A91,7,2))))</f>
        <v>46167</v>
      </c>
      <c r="D91" s="15" t="s">
        <v>423</v>
      </c>
      <c r="E91" s="15" t="s">
        <v>424</v>
      </c>
      <c r="F91" s="12"/>
      <c r="G91" s="16" t="s">
        <v>67</v>
      </c>
      <c r="H91" s="16" t="s">
        <v>54</v>
      </c>
      <c r="I91" s="16" t="s">
        <v>47</v>
      </c>
      <c r="J91" s="16" t="s">
        <v>78</v>
      </c>
      <c r="K91" s="17" t="str">
        <f aca="false">IF(A91="","",_xlfn.TEXTJOIN(",",TRUE(),G91:J91))</f>
        <v>セクシー,サブカル,大人っぽい,モード</v>
      </c>
      <c r="L91" s="12"/>
    </row>
    <row r="92" customFormat="false" ht="16.5" hidden="false" customHeight="true" outlineLevel="0" collapsed="false">
      <c r="A92" s="11" t="s">
        <v>425</v>
      </c>
      <c r="B92" s="12" t="s">
        <v>426</v>
      </c>
      <c r="C92" s="13" t="n">
        <f aca="false">IF(A92="","",DATE(VALUE(LEFT(A92,4)),VALUE(MID(A92,5,2)),VALUE(MID(A92,7,2))))</f>
        <v>46167</v>
      </c>
      <c r="D92" s="15" t="s">
        <v>427</v>
      </c>
      <c r="E92" s="15" t="s">
        <v>428</v>
      </c>
      <c r="F92" s="12"/>
      <c r="G92" s="16" t="s">
        <v>47</v>
      </c>
      <c r="H92" s="16" t="s">
        <v>67</v>
      </c>
      <c r="I92" s="16" t="s">
        <v>145</v>
      </c>
      <c r="J92" s="16" t="s">
        <v>78</v>
      </c>
      <c r="K92" s="17" t="str">
        <f aca="false">IF(A92="","",_xlfn.TEXTJOIN(",",TRUE(),G92:J92))</f>
        <v>大人っぽい,セクシー,ギャル,モード</v>
      </c>
      <c r="L92" s="12"/>
    </row>
    <row r="93" customFormat="false" ht="16.5" hidden="false" customHeight="true" outlineLevel="0" collapsed="false">
      <c r="A93" s="11" t="s">
        <v>429</v>
      </c>
      <c r="B93" s="12" t="s">
        <v>430</v>
      </c>
      <c r="C93" s="13" t="n">
        <f aca="false">IF(A93="","",DATE(VALUE(LEFT(A93,4)),VALUE(MID(A93,5,2)),VALUE(MID(A93,7,2))))</f>
        <v>46165</v>
      </c>
      <c r="D93" s="15" t="s">
        <v>431</v>
      </c>
      <c r="E93" s="15" t="s">
        <v>432</v>
      </c>
      <c r="F93" s="12"/>
      <c r="G93" s="16" t="s">
        <v>46</v>
      </c>
      <c r="H93" s="16" t="s">
        <v>77</v>
      </c>
      <c r="I93" s="16" t="s">
        <v>52</v>
      </c>
      <c r="J93" s="16" t="s">
        <v>115</v>
      </c>
      <c r="K93" s="17" t="str">
        <f aca="false">IF(A93="","",_xlfn.TEXTJOIN(",",TRUE(),G93:J93))</f>
        <v>きれいめ,ナチュラル,カジュアル,ボーイッシュ</v>
      </c>
      <c r="L93" s="12"/>
    </row>
    <row r="94" customFormat="false" ht="16.5" hidden="false" customHeight="true" outlineLevel="0" collapsed="false">
      <c r="A94" s="11" t="s">
        <v>433</v>
      </c>
      <c r="B94" s="12" t="s">
        <v>434</v>
      </c>
      <c r="C94" s="13" t="n">
        <f aca="false">IF(A94="","",DATE(VALUE(LEFT(A94,4)),VALUE(MID(A94,5,2)),VALUE(MID(A94,7,2))))</f>
        <v>46165</v>
      </c>
      <c r="D94" s="15" t="s">
        <v>435</v>
      </c>
      <c r="E94" s="15" t="s">
        <v>436</v>
      </c>
      <c r="F94" s="12"/>
      <c r="G94" s="16" t="s">
        <v>46</v>
      </c>
      <c r="H94" s="16" t="s">
        <v>33</v>
      </c>
      <c r="I94" s="16" t="s">
        <v>77</v>
      </c>
      <c r="J94" s="16" t="s">
        <v>72</v>
      </c>
      <c r="K94" s="17" t="str">
        <f aca="false">IF(A94="","",_xlfn.TEXTJOIN(",",TRUE(),G94:J94))</f>
        <v>きれいめ,清楚,ナチュラル,コスプレ</v>
      </c>
      <c r="L94" s="12"/>
    </row>
    <row r="95" customFormat="false" ht="16.5" hidden="false" customHeight="true" outlineLevel="0" collapsed="false">
      <c r="A95" s="11" t="s">
        <v>437</v>
      </c>
      <c r="B95" s="12" t="s">
        <v>438</v>
      </c>
      <c r="C95" s="13" t="n">
        <f aca="false">IF(A95="","",DATE(VALUE(LEFT(A95,4)),VALUE(MID(A95,5,2)),VALUE(MID(A95,7,2))))</f>
        <v>46162</v>
      </c>
      <c r="D95" s="15" t="s">
        <v>439</v>
      </c>
      <c r="E95" s="15" t="s">
        <v>440</v>
      </c>
      <c r="F95" s="12"/>
      <c r="G95" s="16" t="s">
        <v>35</v>
      </c>
      <c r="H95" s="16" t="s">
        <v>41</v>
      </c>
      <c r="I95" s="16" t="s">
        <v>54</v>
      </c>
      <c r="J95" s="16" t="s">
        <v>72</v>
      </c>
      <c r="K95" s="17" t="str">
        <f aca="false">IF(A95="","",_xlfn.TEXTJOIN(",",TRUE(),G95:J95))</f>
        <v>ガーリー,かわいい,サブカル,コスプレ</v>
      </c>
      <c r="L95" s="12"/>
    </row>
    <row r="96" customFormat="false" ht="16.5" hidden="false" customHeight="true" outlineLevel="0" collapsed="false">
      <c r="A96" s="11" t="s">
        <v>441</v>
      </c>
      <c r="B96" s="12" t="s">
        <v>442</v>
      </c>
      <c r="C96" s="13" t="n">
        <f aca="false">IF(A96="","",DATE(VALUE(LEFT(A96,4)),VALUE(MID(A96,5,2)),VALUE(MID(A96,7,2))))</f>
        <v>46162</v>
      </c>
      <c r="D96" s="15" t="s">
        <v>443</v>
      </c>
      <c r="E96" s="15" t="s">
        <v>444</v>
      </c>
      <c r="F96" s="12"/>
      <c r="G96" s="16" t="s">
        <v>46</v>
      </c>
      <c r="H96" s="16" t="s">
        <v>47</v>
      </c>
      <c r="I96" s="16" t="s">
        <v>53</v>
      </c>
      <c r="J96" s="16" t="s">
        <v>145</v>
      </c>
      <c r="K96" s="17" t="str">
        <f aca="false">IF(A96="","",_xlfn.TEXTJOIN(",",TRUE(),G96:J96))</f>
        <v>きれいめ,大人っぽい,クール,ギャル</v>
      </c>
      <c r="L96" s="12"/>
    </row>
    <row r="97" customFormat="false" ht="16.5" hidden="false" customHeight="true" outlineLevel="0" collapsed="false">
      <c r="A97" s="11" t="s">
        <v>445</v>
      </c>
      <c r="B97" s="12" t="s">
        <v>446</v>
      </c>
      <c r="C97" s="13" t="n">
        <f aca="false">IF(A97="","",DATE(VALUE(LEFT(A97,4)),VALUE(MID(A97,5,2)),VALUE(MID(A97,7,2))))</f>
        <v>46162</v>
      </c>
      <c r="D97" s="15" t="s">
        <v>447</v>
      </c>
      <c r="E97" s="15" t="s">
        <v>448</v>
      </c>
      <c r="F97" s="12"/>
      <c r="G97" s="16" t="s">
        <v>41</v>
      </c>
      <c r="H97" s="16" t="s">
        <v>35</v>
      </c>
      <c r="I97" s="16" t="s">
        <v>54</v>
      </c>
      <c r="J97" s="16" t="s">
        <v>72</v>
      </c>
      <c r="K97" s="17" t="str">
        <f aca="false">IF(A97="","",_xlfn.TEXTJOIN(",",TRUE(),G97:J97))</f>
        <v>かわいい,ガーリー,サブカル,コスプレ</v>
      </c>
      <c r="L97" s="12"/>
    </row>
    <row r="98" customFormat="false" ht="16.5" hidden="false" customHeight="true" outlineLevel="0" collapsed="false">
      <c r="A98" s="11" t="s">
        <v>449</v>
      </c>
      <c r="B98" s="15" t="s">
        <v>450</v>
      </c>
      <c r="C98" s="13" t="n">
        <f aca="false">IF(A98="","",DATE(VALUE(LEFT(A98,4)),VALUE(MID(A98,5,2)),VALUE(MID(A98,7,2))))</f>
        <v>46157</v>
      </c>
      <c r="D98" s="15" t="s">
        <v>451</v>
      </c>
      <c r="E98" s="15" t="s">
        <v>452</v>
      </c>
      <c r="F98" s="12"/>
      <c r="G98" s="16" t="s">
        <v>54</v>
      </c>
      <c r="H98" s="16" t="s">
        <v>67</v>
      </c>
      <c r="I98" s="16" t="s">
        <v>77</v>
      </c>
      <c r="J98" s="16" t="s">
        <v>52</v>
      </c>
      <c r="K98" s="17" t="str">
        <f aca="false">IF(A98="","",_xlfn.TEXTJOIN(",",TRUE(),G98:J98))</f>
        <v>サブカル,セクシー,ナチュラル,カジュアル</v>
      </c>
      <c r="L98" s="12"/>
    </row>
    <row r="99" customFormat="false" ht="16.5" hidden="false" customHeight="true" outlineLevel="0" collapsed="false">
      <c r="A99" s="11" t="s">
        <v>453</v>
      </c>
      <c r="B99" s="12" t="s">
        <v>454</v>
      </c>
      <c r="C99" s="13" t="n">
        <f aca="false">IF(A99="","",DATE(VALUE(LEFT(A99,4)),VALUE(MID(A99,5,2)),VALUE(MID(A99,7,2))))</f>
        <v>46157</v>
      </c>
      <c r="D99" s="15" t="s">
        <v>455</v>
      </c>
      <c r="E99" s="15" t="s">
        <v>456</v>
      </c>
      <c r="F99" s="12"/>
      <c r="G99" s="16" t="s">
        <v>150</v>
      </c>
      <c r="H99" s="16" t="s">
        <v>54</v>
      </c>
      <c r="I99" s="16" t="s">
        <v>72</v>
      </c>
      <c r="J99" s="16" t="s">
        <v>34</v>
      </c>
      <c r="K99" s="17" t="str">
        <f aca="false">IF(A99="","",_xlfn.TEXTJOIN(",",TRUE(),G99:J99))</f>
        <v>ロリータ,サブカル,コスプレ,フェミニン</v>
      </c>
      <c r="L99" s="12"/>
    </row>
    <row r="100" customFormat="false" ht="16.5" hidden="false" customHeight="true" outlineLevel="0" collapsed="false">
      <c r="A100" s="11" t="s">
        <v>457</v>
      </c>
      <c r="B100" s="12" t="s">
        <v>458</v>
      </c>
      <c r="C100" s="13" t="n">
        <f aca="false">IF(A100="","",DATE(VALUE(LEFT(A100,4)),VALUE(MID(A100,5,2)),VALUE(MID(A100,7,2))))</f>
        <v>46157</v>
      </c>
      <c r="D100" s="15" t="s">
        <v>459</v>
      </c>
      <c r="E100" s="15" t="s">
        <v>460</v>
      </c>
      <c r="F100" s="12"/>
      <c r="G100" s="16" t="s">
        <v>41</v>
      </c>
      <c r="H100" s="16" t="s">
        <v>77</v>
      </c>
      <c r="I100" s="16" t="s">
        <v>52</v>
      </c>
      <c r="J100" s="16" t="s">
        <v>35</v>
      </c>
      <c r="K100" s="17" t="str">
        <f aca="false">IF(A100="","",_xlfn.TEXTJOIN(",",TRUE(),G100:J100))</f>
        <v>かわいい,ナチュラル,カジュアル,ガーリー</v>
      </c>
      <c r="L100" s="12"/>
    </row>
    <row r="101" customFormat="false" ht="16.5" hidden="false" customHeight="true" outlineLevel="0" collapsed="false">
      <c r="A101" s="11" t="s">
        <v>461</v>
      </c>
      <c r="B101" s="12" t="s">
        <v>462</v>
      </c>
      <c r="C101" s="13" t="n">
        <f aca="false">IF(A101="","",DATE(VALUE(LEFT(A101,4)),VALUE(MID(A101,5,2)),VALUE(MID(A101,7,2))))</f>
        <v>46155</v>
      </c>
      <c r="D101" s="15" t="s">
        <v>463</v>
      </c>
      <c r="E101" s="15" t="s">
        <v>464</v>
      </c>
      <c r="F101" s="12"/>
      <c r="G101" s="16" t="s">
        <v>35</v>
      </c>
      <c r="H101" s="16" t="s">
        <v>145</v>
      </c>
      <c r="I101" s="16" t="s">
        <v>53</v>
      </c>
      <c r="J101" s="16" t="s">
        <v>54</v>
      </c>
      <c r="K101" s="17" t="str">
        <f aca="false">IF(A101="","",_xlfn.TEXTJOIN(",",TRUE(),G101:J101))</f>
        <v>ガーリー,ギャル,クール,サブカル</v>
      </c>
      <c r="L101" s="12"/>
    </row>
    <row r="102" customFormat="false" ht="16.5" hidden="false" customHeight="true" outlineLevel="0" collapsed="false">
      <c r="A102" s="11" t="s">
        <v>465</v>
      </c>
      <c r="B102" s="12" t="s">
        <v>466</v>
      </c>
      <c r="C102" s="13" t="n">
        <f aca="false">IF(A102="","",DATE(VALUE(LEFT(A102,4)),VALUE(MID(A102,5,2)),VALUE(MID(A102,7,2))))</f>
        <v>46153</v>
      </c>
      <c r="D102" s="15" t="s">
        <v>467</v>
      </c>
      <c r="E102" s="15" t="s">
        <v>468</v>
      </c>
      <c r="F102" s="12"/>
      <c r="G102" s="16" t="s">
        <v>46</v>
      </c>
      <c r="H102" s="16" t="s">
        <v>77</v>
      </c>
      <c r="I102" s="16" t="s">
        <v>115</v>
      </c>
      <c r="J102" s="16" t="s">
        <v>52</v>
      </c>
      <c r="K102" s="17" t="str">
        <f aca="false">IF(A102="","",_xlfn.TEXTJOIN(",",TRUE(),G102:J102))</f>
        <v>きれいめ,ナチュラル,ボーイッシュ,カジュアル</v>
      </c>
      <c r="L102" s="12"/>
    </row>
    <row r="103" customFormat="false" ht="16.5" hidden="false" customHeight="true" outlineLevel="0" collapsed="false">
      <c r="A103" s="11" t="s">
        <v>469</v>
      </c>
      <c r="B103" s="12" t="s">
        <v>470</v>
      </c>
      <c r="C103" s="13" t="n">
        <f aca="false">IF(A103="","",DATE(VALUE(LEFT(A103,4)),VALUE(MID(A103,5,2)),VALUE(MID(A103,7,2))))</f>
        <v>46153</v>
      </c>
      <c r="D103" s="15" t="s">
        <v>471</v>
      </c>
      <c r="E103" s="15" t="s">
        <v>472</v>
      </c>
      <c r="F103" s="12"/>
      <c r="G103" s="16" t="s">
        <v>41</v>
      </c>
      <c r="H103" s="16" t="s">
        <v>52</v>
      </c>
      <c r="I103" s="16" t="s">
        <v>78</v>
      </c>
      <c r="J103" s="16" t="s">
        <v>88</v>
      </c>
      <c r="K103" s="17" t="str">
        <f aca="false">IF(A103="","",_xlfn.TEXTJOIN(",",TRUE(),G103:J103))</f>
        <v>かわいい,カジュアル,モード,ゴス・地雷</v>
      </c>
      <c r="L103" s="12"/>
    </row>
    <row r="104" customFormat="false" ht="16.5" hidden="false" customHeight="true" outlineLevel="0" collapsed="false">
      <c r="A104" s="11" t="s">
        <v>473</v>
      </c>
      <c r="B104" s="12" t="s">
        <v>474</v>
      </c>
      <c r="C104" s="13" t="n">
        <f aca="false">IF(A104="","",DATE(VALUE(LEFT(A104,4)),VALUE(MID(A104,5,2)),VALUE(MID(A104,7,2))))</f>
        <v>46153</v>
      </c>
      <c r="D104" s="15" t="s">
        <v>475</v>
      </c>
      <c r="E104" s="15" t="s">
        <v>476</v>
      </c>
      <c r="F104" s="12"/>
      <c r="G104" s="16" t="s">
        <v>46</v>
      </c>
      <c r="H104" s="16" t="s">
        <v>47</v>
      </c>
      <c r="I104" s="16" t="s">
        <v>67</v>
      </c>
      <c r="J104" s="16" t="s">
        <v>34</v>
      </c>
      <c r="K104" s="17" t="str">
        <f aca="false">IF(A104="","",_xlfn.TEXTJOIN(",",TRUE(),G104:J104))</f>
        <v>きれいめ,大人っぽい,セクシー,フェミニン</v>
      </c>
      <c r="L104" s="12"/>
    </row>
    <row r="105" customFormat="false" ht="16.5" hidden="false" customHeight="true" outlineLevel="0" collapsed="false">
      <c r="A105" s="11" t="s">
        <v>477</v>
      </c>
      <c r="B105" s="15" t="s">
        <v>478</v>
      </c>
      <c r="C105" s="13" t="n">
        <f aca="false">IF(A105="","",DATE(VALUE(LEFT(A105,4)),VALUE(MID(A105,5,2)),VALUE(MID(A105,7,2))))</f>
        <v>46153</v>
      </c>
      <c r="D105" s="15" t="s">
        <v>479</v>
      </c>
      <c r="E105" s="15" t="s">
        <v>480</v>
      </c>
      <c r="F105" s="12"/>
      <c r="G105" s="16" t="s">
        <v>46</v>
      </c>
      <c r="H105" s="16" t="s">
        <v>47</v>
      </c>
      <c r="I105" s="16" t="s">
        <v>67</v>
      </c>
      <c r="J105" s="16" t="s">
        <v>34</v>
      </c>
      <c r="K105" s="17" t="str">
        <f aca="false">IF(A105="","",_xlfn.TEXTJOIN(",",TRUE(),G105:J105))</f>
        <v>きれいめ,大人っぽい,セクシー,フェミニン</v>
      </c>
      <c r="L105" s="12"/>
    </row>
    <row r="106" customFormat="false" ht="16.5" hidden="false" customHeight="true" outlineLevel="0" collapsed="false">
      <c r="A106" s="11" t="s">
        <v>481</v>
      </c>
      <c r="B106" s="12" t="s">
        <v>482</v>
      </c>
      <c r="C106" s="13" t="n">
        <f aca="false">IF(A106="","",DATE(VALUE(LEFT(A106,4)),VALUE(MID(A106,5,2)),VALUE(MID(A106,7,2))))</f>
        <v>46153</v>
      </c>
      <c r="D106" s="15" t="s">
        <v>483</v>
      </c>
      <c r="E106" s="15" t="s">
        <v>484</v>
      </c>
      <c r="F106" s="12"/>
      <c r="G106" s="16" t="s">
        <v>41</v>
      </c>
      <c r="H106" s="16" t="s">
        <v>77</v>
      </c>
      <c r="I106" s="16" t="s">
        <v>35</v>
      </c>
      <c r="J106" s="16" t="s">
        <v>88</v>
      </c>
      <c r="K106" s="17" t="str">
        <f aca="false">IF(A106="","",_xlfn.TEXTJOIN(",",TRUE(),G106:J106))</f>
        <v>かわいい,ナチュラル,ガーリー,ゴス・地雷</v>
      </c>
      <c r="L106" s="12"/>
    </row>
    <row r="107" customFormat="false" ht="16.5" hidden="false" customHeight="true" outlineLevel="0" collapsed="false">
      <c r="A107" s="11" t="s">
        <v>485</v>
      </c>
      <c r="B107" s="15" t="s">
        <v>486</v>
      </c>
      <c r="C107" s="13" t="n">
        <f aca="false">IF(A107="","",DATE(VALUE(LEFT(A107,4)),VALUE(MID(A107,5,2)),VALUE(MID(A107,7,2))))</f>
        <v>46149</v>
      </c>
      <c r="D107" s="15" t="s">
        <v>487</v>
      </c>
      <c r="E107" s="15" t="s">
        <v>488</v>
      </c>
      <c r="F107" s="12"/>
      <c r="G107" s="16" t="s">
        <v>78</v>
      </c>
      <c r="H107" s="16" t="s">
        <v>54</v>
      </c>
      <c r="I107" s="16" t="s">
        <v>72</v>
      </c>
      <c r="J107" s="16" t="s">
        <v>36</v>
      </c>
      <c r="K107" s="17" t="str">
        <f aca="false">IF(A107="","",_xlfn.TEXTJOIN(",",TRUE(),G107:J107))</f>
        <v>モード,サブカル,コスプレ,レトロ</v>
      </c>
      <c r="L107" s="12"/>
    </row>
    <row r="108" customFormat="false" ht="16.5" hidden="false" customHeight="true" outlineLevel="0" collapsed="false">
      <c r="A108" s="11" t="s">
        <v>489</v>
      </c>
      <c r="B108" s="12" t="s">
        <v>490</v>
      </c>
      <c r="C108" s="13" t="n">
        <f aca="false">IF(A108="","",DATE(VALUE(LEFT(A108,4)),VALUE(MID(A108,5,2)),VALUE(MID(A108,7,2))))</f>
        <v>46149</v>
      </c>
      <c r="D108" s="15" t="s">
        <v>491</v>
      </c>
      <c r="E108" s="15" t="s">
        <v>492</v>
      </c>
      <c r="F108" s="12"/>
      <c r="G108" s="16" t="s">
        <v>35</v>
      </c>
      <c r="H108" s="16" t="s">
        <v>41</v>
      </c>
      <c r="I108" s="16" t="s">
        <v>168</v>
      </c>
      <c r="J108" s="16" t="s">
        <v>54</v>
      </c>
      <c r="K108" s="17" t="str">
        <f aca="false">IF(A108="","",_xlfn.TEXTJOIN(",",TRUE(),G108:J108))</f>
        <v>ガーリー,かわいい,韓国風,サブカル</v>
      </c>
      <c r="L108" s="12"/>
    </row>
    <row r="109" customFormat="false" ht="16.5" hidden="false" customHeight="true" outlineLevel="0" collapsed="false">
      <c r="A109" s="11" t="s">
        <v>493</v>
      </c>
      <c r="B109" s="12" t="s">
        <v>494</v>
      </c>
      <c r="C109" s="13" t="n">
        <f aca="false">IF(A109="","",DATE(VALUE(LEFT(A109,4)),VALUE(MID(A109,5,2)),VALUE(MID(A109,7,2))))</f>
        <v>46066</v>
      </c>
      <c r="D109" s="15" t="s">
        <v>495</v>
      </c>
      <c r="E109" s="15" t="s">
        <v>496</v>
      </c>
      <c r="F109" s="12"/>
      <c r="G109" s="16" t="s">
        <v>46</v>
      </c>
      <c r="H109" s="16" t="s">
        <v>52</v>
      </c>
      <c r="I109" s="16" t="s">
        <v>47</v>
      </c>
      <c r="J109" s="16" t="s">
        <v>35</v>
      </c>
      <c r="K109" s="17" t="str">
        <f aca="false">IF(A109="","",_xlfn.TEXTJOIN(",",TRUE(),G109:J109))</f>
        <v>きれいめ,カジュアル,大人っぽい,ガーリー</v>
      </c>
      <c r="L109" s="12"/>
    </row>
    <row r="110" customFormat="false" ht="16.5" hidden="false" customHeight="true" outlineLevel="0" collapsed="false">
      <c r="A110" s="11" t="s">
        <v>497</v>
      </c>
      <c r="B110" s="12" t="s">
        <v>498</v>
      </c>
      <c r="C110" s="13" t="n">
        <f aca="false">IF(A110="","",DATE(VALUE(LEFT(A110,4)),VALUE(MID(A110,5,2)),VALUE(MID(A110,7,2))))</f>
        <v>45976</v>
      </c>
      <c r="D110" s="15" t="s">
        <v>499</v>
      </c>
      <c r="E110" s="15" t="s">
        <v>500</v>
      </c>
      <c r="F110" s="12"/>
      <c r="G110" s="16" t="s">
        <v>41</v>
      </c>
      <c r="H110" s="16" t="s">
        <v>77</v>
      </c>
      <c r="I110" s="16" t="s">
        <v>78</v>
      </c>
      <c r="J110" s="16" t="s">
        <v>53</v>
      </c>
      <c r="K110" s="17" t="str">
        <f aca="false">IF(A110="","",_xlfn.TEXTJOIN(",",TRUE(),G110:J110))</f>
        <v>かわいい,ナチュラル,モード,クール</v>
      </c>
      <c r="L110" s="12"/>
    </row>
    <row r="111" customFormat="false" ht="16.5" hidden="false" customHeight="true" outlineLevel="0" collapsed="false">
      <c r="A111" s="11" t="s">
        <v>501</v>
      </c>
      <c r="B111" s="12" t="s">
        <v>502</v>
      </c>
      <c r="C111" s="13" t="n">
        <f aca="false">IF(A111="","",DATE(VALUE(LEFT(A111,4)),VALUE(MID(A111,5,2)),VALUE(MID(A111,7,2))))</f>
        <v>45976</v>
      </c>
      <c r="D111" s="15" t="s">
        <v>503</v>
      </c>
      <c r="E111" s="15" t="s">
        <v>504</v>
      </c>
      <c r="F111" s="12"/>
      <c r="G111" s="16" t="s">
        <v>34</v>
      </c>
      <c r="H111" s="16" t="s">
        <v>67</v>
      </c>
      <c r="I111" s="16" t="s">
        <v>53</v>
      </c>
      <c r="J111" s="16" t="s">
        <v>54</v>
      </c>
      <c r="K111" s="17" t="str">
        <f aca="false">IF(A111="","",_xlfn.TEXTJOIN(",",TRUE(),G111:J111))</f>
        <v>フェミニン,セクシー,クール,サブカル</v>
      </c>
      <c r="L111" s="12"/>
    </row>
    <row r="112" customFormat="false" ht="16.5" hidden="false" customHeight="true" outlineLevel="0" collapsed="false">
      <c r="A112" s="11" t="s">
        <v>505</v>
      </c>
      <c r="B112" s="12" t="s">
        <v>506</v>
      </c>
      <c r="C112" s="13" t="n">
        <f aca="false">IF(A112="","",DATE(VALUE(LEFT(A112,4)),VALUE(MID(A112,5,2)),VALUE(MID(A112,7,2))))</f>
        <v>45958</v>
      </c>
      <c r="D112" s="15" t="s">
        <v>507</v>
      </c>
      <c r="E112" s="15" t="s">
        <v>508</v>
      </c>
      <c r="F112" s="15" t="s">
        <v>509</v>
      </c>
      <c r="G112" s="16" t="s">
        <v>41</v>
      </c>
      <c r="H112" s="16" t="s">
        <v>46</v>
      </c>
      <c r="I112" s="16" t="s">
        <v>33</v>
      </c>
      <c r="J112" s="16" t="s">
        <v>34</v>
      </c>
      <c r="K112" s="17" t="str">
        <f aca="false">IF(A112="","",_xlfn.TEXTJOIN(",",TRUE(),G112:J112))</f>
        <v>かわいい,きれいめ,清楚,フェミニン</v>
      </c>
      <c r="L112" s="12"/>
    </row>
    <row r="113" customFormat="false" ht="16.5" hidden="false" customHeight="true" outlineLevel="0" collapsed="false">
      <c r="A113" s="11" t="s">
        <v>510</v>
      </c>
      <c r="B113" s="12" t="s">
        <v>511</v>
      </c>
      <c r="C113" s="13" t="n">
        <f aca="false">IF(A113="","",DATE(VALUE(LEFT(A113,4)),VALUE(MID(A113,5,2)),VALUE(MID(A113,7,2))))</f>
        <v>45948</v>
      </c>
      <c r="D113" s="15" t="s">
        <v>512</v>
      </c>
      <c r="E113" s="15" t="s">
        <v>513</v>
      </c>
      <c r="F113" s="12"/>
      <c r="G113" s="16" t="s">
        <v>34</v>
      </c>
      <c r="H113" s="16" t="s">
        <v>72</v>
      </c>
      <c r="I113" s="16" t="s">
        <v>150</v>
      </c>
      <c r="J113" s="16" t="s">
        <v>35</v>
      </c>
      <c r="K113" s="17" t="str">
        <f aca="false">IF(A113="","",_xlfn.TEXTJOIN(",",TRUE(),G113:J113))</f>
        <v>フェミニン,コスプレ,ロリータ,ガーリー</v>
      </c>
      <c r="L113" s="12"/>
    </row>
    <row r="114" customFormat="false" ht="16.5" hidden="false" customHeight="true" outlineLevel="0" collapsed="false">
      <c r="A114" s="11" t="s">
        <v>514</v>
      </c>
      <c r="B114" s="12" t="s">
        <v>515</v>
      </c>
      <c r="C114" s="13" t="n">
        <f aca="false">IF(A114="","",DATE(VALUE(LEFT(A114,4)),VALUE(MID(A114,5,2)),VALUE(MID(A114,7,2))))</f>
        <v>45940</v>
      </c>
      <c r="D114" s="15" t="s">
        <v>516</v>
      </c>
      <c r="E114" s="15" t="s">
        <v>517</v>
      </c>
      <c r="F114" s="12"/>
      <c r="G114" s="16" t="s">
        <v>47</v>
      </c>
      <c r="H114" s="16" t="s">
        <v>67</v>
      </c>
      <c r="I114" s="16" t="s">
        <v>53</v>
      </c>
      <c r="J114" s="16" t="s">
        <v>34</v>
      </c>
      <c r="K114" s="17" t="str">
        <f aca="false">IF(A114="","",_xlfn.TEXTJOIN(",",TRUE(),G114:J114))</f>
        <v>大人っぽい,セクシー,クール,フェミニン</v>
      </c>
      <c r="L114" s="12"/>
    </row>
    <row r="115" customFormat="false" ht="16.5" hidden="false" customHeight="true" outlineLevel="0" collapsed="false">
      <c r="A115" s="11" t="s">
        <v>518</v>
      </c>
      <c r="B115" s="12" t="s">
        <v>519</v>
      </c>
      <c r="C115" s="13" t="n">
        <f aca="false">IF(A115="","",DATE(VALUE(LEFT(A115,4)),VALUE(MID(A115,5,2)),VALUE(MID(A115,7,2))))</f>
        <v>45852</v>
      </c>
      <c r="D115" s="15" t="s">
        <v>520</v>
      </c>
      <c r="E115" s="15" t="s">
        <v>521</v>
      </c>
      <c r="F115" s="12"/>
      <c r="G115" s="16" t="s">
        <v>41</v>
      </c>
      <c r="H115" s="16" t="s">
        <v>54</v>
      </c>
      <c r="I115" s="16" t="s">
        <v>35</v>
      </c>
      <c r="J115" s="16" t="s">
        <v>52</v>
      </c>
      <c r="K115" s="17" t="str">
        <f aca="false">IF(A115="","",_xlfn.TEXTJOIN(",",TRUE(),G115:J115))</f>
        <v>かわいい,サブカル,ガーリー,カジュアル</v>
      </c>
      <c r="L115" s="12"/>
    </row>
    <row r="116" customFormat="false" ht="16.5" hidden="false" customHeight="true" outlineLevel="0" collapsed="false">
      <c r="A116" s="11" t="s">
        <v>522</v>
      </c>
      <c r="B116" s="12" t="s">
        <v>523</v>
      </c>
      <c r="C116" s="13" t="n">
        <f aca="false">IF(A116="","",DATE(VALUE(LEFT(A116,4)),VALUE(MID(A116,5,2)),VALUE(MID(A116,7,2))))</f>
        <v>45851</v>
      </c>
      <c r="D116" s="15" t="s">
        <v>524</v>
      </c>
      <c r="E116" s="15" t="s">
        <v>525</v>
      </c>
      <c r="F116" s="12"/>
      <c r="G116" s="16" t="s">
        <v>88</v>
      </c>
      <c r="H116" s="16" t="s">
        <v>41</v>
      </c>
      <c r="I116" s="16" t="s">
        <v>54</v>
      </c>
      <c r="J116" s="16" t="s">
        <v>35</v>
      </c>
      <c r="K116" s="17" t="str">
        <f aca="false">IF(A116="","",_xlfn.TEXTJOIN(",",TRUE(),G116:J116))</f>
        <v>ゴス・地雷,かわいい,サブカル,ガーリー</v>
      </c>
      <c r="L116" s="12"/>
    </row>
    <row r="117" customFormat="false" ht="16.5" hidden="false" customHeight="true" outlineLevel="0" collapsed="false">
      <c r="A117" s="11" t="s">
        <v>526</v>
      </c>
      <c r="B117" s="12" t="s">
        <v>527</v>
      </c>
      <c r="C117" s="13" t="n">
        <f aca="false">IF(A117="","",DATE(VALUE(LEFT(A117,4)),VALUE(MID(A117,5,2)),VALUE(MID(A117,7,2))))</f>
        <v>45835</v>
      </c>
      <c r="D117" s="15" t="s">
        <v>528</v>
      </c>
      <c r="E117" s="15" t="s">
        <v>529</v>
      </c>
      <c r="F117" s="12"/>
      <c r="G117" s="16" t="s">
        <v>41</v>
      </c>
      <c r="H117" s="16" t="s">
        <v>77</v>
      </c>
      <c r="I117" s="16" t="s">
        <v>53</v>
      </c>
      <c r="J117" s="16" t="s">
        <v>78</v>
      </c>
      <c r="K117" s="17" t="str">
        <f aca="false">IF(A117="","",_xlfn.TEXTJOIN(",",TRUE(),G117:J117))</f>
        <v>かわいい,ナチュラル,クール,モード</v>
      </c>
      <c r="L117" s="12"/>
    </row>
    <row r="118" customFormat="false" ht="16.5" hidden="false" customHeight="true" outlineLevel="0" collapsed="false">
      <c r="A118" s="11" t="s">
        <v>530</v>
      </c>
      <c r="B118" s="12" t="s">
        <v>531</v>
      </c>
      <c r="C118" s="13" t="n">
        <f aca="false">IF(A118="","",DATE(VALUE(LEFT(A118,4)),VALUE(MID(A118,5,2)),VALUE(MID(A118,7,2))))</f>
        <v>45831</v>
      </c>
      <c r="D118" s="15" t="s">
        <v>532</v>
      </c>
      <c r="E118" s="15" t="s">
        <v>533</v>
      </c>
      <c r="F118" s="12"/>
      <c r="G118" s="16" t="s">
        <v>52</v>
      </c>
      <c r="H118" s="16" t="s">
        <v>67</v>
      </c>
      <c r="I118" s="16" t="s">
        <v>47</v>
      </c>
      <c r="J118" s="16" t="s">
        <v>145</v>
      </c>
      <c r="K118" s="17" t="str">
        <f aca="false">IF(A118="","",_xlfn.TEXTJOIN(",",TRUE(),G118:J118))</f>
        <v>カジュアル,セクシー,大人っぽい,ギャル</v>
      </c>
      <c r="L118" s="12"/>
    </row>
    <row r="119" customFormat="false" ht="16.5" hidden="false" customHeight="true" outlineLevel="0" collapsed="false">
      <c r="A119" s="11" t="s">
        <v>534</v>
      </c>
      <c r="B119" s="12" t="s">
        <v>535</v>
      </c>
      <c r="C119" s="13" t="n">
        <f aca="false">IF(A119="","",DATE(VALUE(LEFT(A119,4)),VALUE(MID(A119,5,2)),VALUE(MID(A119,7,2))))</f>
        <v>45774</v>
      </c>
      <c r="D119" s="15" t="s">
        <v>536</v>
      </c>
      <c r="E119" s="15" t="s">
        <v>537</v>
      </c>
      <c r="F119" s="12"/>
      <c r="G119" s="16" t="s">
        <v>41</v>
      </c>
      <c r="H119" s="16" t="s">
        <v>35</v>
      </c>
      <c r="I119" s="16" t="s">
        <v>54</v>
      </c>
      <c r="J119" s="16" t="s">
        <v>72</v>
      </c>
      <c r="K119" s="17" t="str">
        <f aca="false">IF(A119="","",_xlfn.TEXTJOIN(",",TRUE(),G119:J119))</f>
        <v>かわいい,ガーリー,サブカル,コスプレ</v>
      </c>
      <c r="L119" s="12"/>
    </row>
    <row r="120" customFormat="false" ht="16.5" hidden="false" customHeight="true" outlineLevel="0" collapsed="false">
      <c r="A120" s="11" t="s">
        <v>538</v>
      </c>
      <c r="B120" s="12" t="s">
        <v>539</v>
      </c>
      <c r="C120" s="13" t="n">
        <f aca="false">IF(A120="","",DATE(VALUE(LEFT(A120,4)),VALUE(MID(A120,5,2)),VALUE(MID(A120,7,2))))</f>
        <v>45773</v>
      </c>
      <c r="D120" s="15" t="s">
        <v>540</v>
      </c>
      <c r="E120" s="15" t="s">
        <v>541</v>
      </c>
      <c r="F120" s="12"/>
      <c r="G120" s="16" t="s">
        <v>41</v>
      </c>
      <c r="H120" s="16" t="s">
        <v>35</v>
      </c>
      <c r="I120" s="16" t="s">
        <v>54</v>
      </c>
      <c r="J120" s="16" t="s">
        <v>72</v>
      </c>
      <c r="K120" s="17" t="str">
        <f aca="false">IF(A120="","",_xlfn.TEXTJOIN(",",TRUE(),G120:J120))</f>
        <v>かわいい,ガーリー,サブカル,コスプレ</v>
      </c>
      <c r="L120" s="12"/>
    </row>
    <row r="121" customFormat="false" ht="16.5" hidden="false" customHeight="true" outlineLevel="0" collapsed="false">
      <c r="A121" s="11" t="s">
        <v>542</v>
      </c>
      <c r="B121" s="12" t="s">
        <v>543</v>
      </c>
      <c r="C121" s="13" t="n">
        <f aca="false">IF(A121="","",DATE(VALUE(LEFT(A121,4)),VALUE(MID(A121,5,2)),VALUE(MID(A121,7,2))))</f>
        <v>45765</v>
      </c>
      <c r="D121" s="15" t="s">
        <v>544</v>
      </c>
      <c r="E121" s="15" t="s">
        <v>545</v>
      </c>
      <c r="F121" s="12"/>
      <c r="G121" s="16" t="s">
        <v>77</v>
      </c>
      <c r="H121" s="16" t="s">
        <v>115</v>
      </c>
      <c r="I121" s="16" t="s">
        <v>52</v>
      </c>
      <c r="J121" s="16" t="s">
        <v>41</v>
      </c>
      <c r="K121" s="17" t="str">
        <f aca="false">IF(A121="","",_xlfn.TEXTJOIN(",",TRUE(),G121:J121))</f>
        <v>ナチュラル,ボーイッシュ,カジュアル,かわいい</v>
      </c>
      <c r="L121" s="12"/>
    </row>
    <row r="122" customFormat="false" ht="16.5" hidden="false" customHeight="true" outlineLevel="0" collapsed="false">
      <c r="A122" s="11" t="s">
        <v>546</v>
      </c>
      <c r="B122" s="15" t="s">
        <v>547</v>
      </c>
      <c r="C122" s="13" t="n">
        <f aca="false">IF(A122="","",DATE(VALUE(LEFT(A122,4)),VALUE(MID(A122,5,2)),VALUE(MID(A122,7,2))))</f>
        <v>45758</v>
      </c>
      <c r="D122" s="15" t="s">
        <v>548</v>
      </c>
      <c r="E122" s="15" t="s">
        <v>549</v>
      </c>
      <c r="F122" s="12"/>
      <c r="G122" s="16" t="s">
        <v>35</v>
      </c>
      <c r="H122" s="16" t="s">
        <v>88</v>
      </c>
      <c r="I122" s="16" t="s">
        <v>54</v>
      </c>
      <c r="J122" s="16" t="s">
        <v>41</v>
      </c>
      <c r="K122" s="17" t="str">
        <f aca="false">IF(A122="","",_xlfn.TEXTJOIN(",",TRUE(),G122:J122))</f>
        <v>ガーリー,ゴス・地雷,サブカル,かわいい</v>
      </c>
      <c r="L122" s="12"/>
    </row>
    <row r="123" customFormat="false" ht="16.5" hidden="false" customHeight="true" outlineLevel="0" collapsed="false">
      <c r="A123" s="11" t="s">
        <v>550</v>
      </c>
      <c r="B123" s="12" t="s">
        <v>551</v>
      </c>
      <c r="C123" s="13" t="n">
        <f aca="false">IF(A123="","",DATE(VALUE(LEFT(A123,4)),VALUE(MID(A123,5,2)),VALUE(MID(A123,7,2))))</f>
        <v>45734</v>
      </c>
      <c r="D123" s="15" t="s">
        <v>552</v>
      </c>
      <c r="E123" s="15" t="s">
        <v>553</v>
      </c>
      <c r="F123" s="12"/>
      <c r="G123" s="16" t="s">
        <v>41</v>
      </c>
      <c r="H123" s="16" t="s">
        <v>77</v>
      </c>
      <c r="I123" s="16" t="s">
        <v>52</v>
      </c>
      <c r="J123" s="16" t="s">
        <v>168</v>
      </c>
      <c r="K123" s="17" t="str">
        <f aca="false">IF(A123="","",_xlfn.TEXTJOIN(",",TRUE(),G123:J123))</f>
        <v>かわいい,ナチュラル,カジュアル,韓国風</v>
      </c>
      <c r="L123" s="12"/>
    </row>
    <row r="124" customFormat="false" ht="16.5" hidden="false" customHeight="true" outlineLevel="0" collapsed="false">
      <c r="A124" s="11" t="s">
        <v>554</v>
      </c>
      <c r="B124" s="12" t="s">
        <v>555</v>
      </c>
      <c r="C124" s="13" t="n">
        <f aca="false">IF(A124="","",DATE(VALUE(LEFT(A124,4)),VALUE(MID(A124,5,2)),VALUE(MID(A124,7,2))))</f>
        <v>45733</v>
      </c>
      <c r="D124" s="15" t="s">
        <v>556</v>
      </c>
      <c r="E124" s="15" t="s">
        <v>557</v>
      </c>
      <c r="F124" s="12"/>
      <c r="G124" s="16" t="s">
        <v>46</v>
      </c>
      <c r="H124" s="16" t="s">
        <v>33</v>
      </c>
      <c r="I124" s="16" t="s">
        <v>47</v>
      </c>
      <c r="J124" s="16" t="s">
        <v>77</v>
      </c>
      <c r="K124" s="17" t="str">
        <f aca="false">IF(A124="","",_xlfn.TEXTJOIN(",",TRUE(),G124:J124))</f>
        <v>きれいめ,清楚,大人っぽい,ナチュラル</v>
      </c>
      <c r="L124" s="12"/>
    </row>
    <row r="125" customFormat="false" ht="16.5" hidden="false" customHeight="true" outlineLevel="0" collapsed="false">
      <c r="A125" s="11" t="s">
        <v>558</v>
      </c>
      <c r="B125" s="12" t="s">
        <v>559</v>
      </c>
      <c r="C125" s="13" t="n">
        <f aca="false">IF(A125="","",DATE(VALUE(LEFT(A125,4)),VALUE(MID(A125,5,2)),VALUE(MID(A125,7,2))))</f>
        <v>45732</v>
      </c>
      <c r="D125" s="15" t="s">
        <v>560</v>
      </c>
      <c r="E125" s="15" t="s">
        <v>561</v>
      </c>
      <c r="F125" s="12"/>
      <c r="G125" s="16" t="s">
        <v>41</v>
      </c>
      <c r="H125" s="16" t="s">
        <v>33</v>
      </c>
      <c r="I125" s="16" t="s">
        <v>35</v>
      </c>
      <c r="J125" s="16" t="s">
        <v>77</v>
      </c>
      <c r="K125" s="17" t="str">
        <f aca="false">IF(A125="","",_xlfn.TEXTJOIN(",",TRUE(),G125:J125))</f>
        <v>かわいい,清楚,ガーリー,ナチュラル</v>
      </c>
      <c r="L125" s="12"/>
    </row>
    <row r="126" customFormat="false" ht="16.5" hidden="false" customHeight="true" outlineLevel="0" collapsed="false">
      <c r="A126" s="11" t="s">
        <v>562</v>
      </c>
      <c r="B126" s="12" t="s">
        <v>563</v>
      </c>
      <c r="C126" s="13" t="n">
        <f aca="false">IF(A126="","",DATE(VALUE(LEFT(A126,4)),VALUE(MID(A126,5,2)),VALUE(MID(A126,7,2))))</f>
        <v>45719</v>
      </c>
      <c r="D126" s="15" t="s">
        <v>564</v>
      </c>
      <c r="E126" s="15" t="s">
        <v>565</v>
      </c>
      <c r="F126" s="12"/>
      <c r="G126" s="16" t="s">
        <v>47</v>
      </c>
      <c r="H126" s="16" t="s">
        <v>77</v>
      </c>
      <c r="I126" s="16" t="s">
        <v>53</v>
      </c>
      <c r="J126" s="16" t="s">
        <v>52</v>
      </c>
      <c r="K126" s="17" t="str">
        <f aca="false">IF(A126="","",_xlfn.TEXTJOIN(",",TRUE(),G126:J126))</f>
        <v>大人っぽい,ナチュラル,クール,カジュアル</v>
      </c>
      <c r="L126" s="12"/>
    </row>
    <row r="127" customFormat="false" ht="16.5" hidden="false" customHeight="true" outlineLevel="0" collapsed="false">
      <c r="A127" s="11" t="s">
        <v>566</v>
      </c>
      <c r="B127" s="12" t="s">
        <v>567</v>
      </c>
      <c r="C127" s="13" t="n">
        <f aca="false">IF(A127="","",DATE(VALUE(LEFT(A127,4)),VALUE(MID(A127,5,2)),VALUE(MID(A127,7,2))))</f>
        <v>45696</v>
      </c>
      <c r="D127" s="15" t="s">
        <v>568</v>
      </c>
      <c r="E127" s="15" t="s">
        <v>569</v>
      </c>
      <c r="F127" s="12"/>
      <c r="G127" s="16" t="s">
        <v>41</v>
      </c>
      <c r="H127" s="16" t="s">
        <v>77</v>
      </c>
      <c r="I127" s="16" t="s">
        <v>35</v>
      </c>
      <c r="J127" s="16" t="s">
        <v>54</v>
      </c>
      <c r="K127" s="17" t="str">
        <f aca="false">IF(A127="","",_xlfn.TEXTJOIN(",",TRUE(),G127:J127))</f>
        <v>かわいい,ナチュラル,ガーリー,サブカル</v>
      </c>
      <c r="L127" s="12"/>
    </row>
    <row r="128" customFormat="false" ht="16.5" hidden="false" customHeight="true" outlineLevel="0" collapsed="false">
      <c r="A128" s="11" t="s">
        <v>570</v>
      </c>
      <c r="B128" s="12" t="s">
        <v>571</v>
      </c>
      <c r="C128" s="13" t="n">
        <f aca="false">IF(A128="","",DATE(VALUE(LEFT(A128,4)),VALUE(MID(A128,5,2)),VALUE(MID(A128,7,2))))</f>
        <v>45608</v>
      </c>
      <c r="D128" s="15" t="s">
        <v>572</v>
      </c>
      <c r="E128" s="15" t="s">
        <v>573</v>
      </c>
      <c r="F128" s="12"/>
      <c r="G128" s="16" t="s">
        <v>47</v>
      </c>
      <c r="H128" s="16" t="s">
        <v>77</v>
      </c>
      <c r="I128" s="16" t="s">
        <v>52</v>
      </c>
      <c r="J128" s="16" t="s">
        <v>145</v>
      </c>
      <c r="K128" s="17" t="str">
        <f aca="false">IF(A128="","",_xlfn.TEXTJOIN(",",TRUE(),G128:J128))</f>
        <v>大人っぽい,ナチュラル,カジュアル,ギャル</v>
      </c>
      <c r="L128" s="12"/>
    </row>
    <row r="129" customFormat="false" ht="16.5" hidden="false" customHeight="true" outlineLevel="0" collapsed="false">
      <c r="A129" s="11" t="s">
        <v>574</v>
      </c>
      <c r="B129" s="12" t="s">
        <v>575</v>
      </c>
      <c r="C129" s="13" t="n">
        <f aca="false">IF(A129="","",DATE(VALUE(LEFT(A129,4)),VALUE(MID(A129,5,2)),VALUE(MID(A129,7,2))))</f>
        <v>45570</v>
      </c>
      <c r="D129" s="15" t="s">
        <v>576</v>
      </c>
      <c r="E129" s="15" t="s">
        <v>577</v>
      </c>
      <c r="F129" s="12"/>
      <c r="G129" s="16" t="s">
        <v>41</v>
      </c>
      <c r="H129" s="16" t="s">
        <v>77</v>
      </c>
      <c r="I129" s="16" t="s">
        <v>52</v>
      </c>
      <c r="J129" s="16" t="s">
        <v>78</v>
      </c>
      <c r="K129" s="17" t="str">
        <f aca="false">IF(A129="","",_xlfn.TEXTJOIN(",",TRUE(),G129:J129))</f>
        <v>かわいい,ナチュラル,カジュアル,モード</v>
      </c>
      <c r="L129" s="12"/>
    </row>
    <row r="130" customFormat="false" ht="16.5" hidden="false" customHeight="true" outlineLevel="0" collapsed="false">
      <c r="A130" s="11" t="s">
        <v>578</v>
      </c>
      <c r="B130" s="12" t="s">
        <v>579</v>
      </c>
      <c r="C130" s="13" t="n">
        <f aca="false">IF(A130="","",DATE(VALUE(LEFT(A130,4)),VALUE(MID(A130,5,2)),VALUE(MID(A130,7,2))))</f>
        <v>45570</v>
      </c>
      <c r="D130" s="15" t="s">
        <v>580</v>
      </c>
      <c r="E130" s="15" t="s">
        <v>581</v>
      </c>
      <c r="F130" s="12"/>
      <c r="G130" s="16" t="s">
        <v>41</v>
      </c>
      <c r="H130" s="16" t="s">
        <v>35</v>
      </c>
      <c r="I130" s="16" t="s">
        <v>34</v>
      </c>
      <c r="J130" s="16" t="s">
        <v>54</v>
      </c>
      <c r="K130" s="17" t="str">
        <f aca="false">IF(A130="","",_xlfn.TEXTJOIN(",",TRUE(),G130:J130))</f>
        <v>かわいい,ガーリー,フェミニン,サブカル</v>
      </c>
      <c r="L130" s="12"/>
    </row>
    <row r="131" customFormat="false" ht="16.5" hidden="false" customHeight="true" outlineLevel="0" collapsed="false">
      <c r="A131" s="11" t="s">
        <v>582</v>
      </c>
      <c r="B131" s="12" t="s">
        <v>583</v>
      </c>
      <c r="C131" s="13" t="n">
        <f aca="false">IF(A131="","",DATE(VALUE(LEFT(A131,4)),VALUE(MID(A131,5,2)),VALUE(MID(A131,7,2))))</f>
        <v>45538</v>
      </c>
      <c r="D131" s="15" t="s">
        <v>584</v>
      </c>
      <c r="E131" s="15" t="s">
        <v>585</v>
      </c>
      <c r="F131" s="12"/>
      <c r="G131" s="16" t="s">
        <v>41</v>
      </c>
      <c r="H131" s="16" t="s">
        <v>77</v>
      </c>
      <c r="I131" s="16" t="s">
        <v>67</v>
      </c>
      <c r="J131" s="16" t="s">
        <v>168</v>
      </c>
      <c r="K131" s="17" t="str">
        <f aca="false">IF(A131="","",_xlfn.TEXTJOIN(",",TRUE(),G131:J131))</f>
        <v>かわいい,ナチュラル,セクシー,韓国風</v>
      </c>
      <c r="L131" s="12"/>
    </row>
    <row r="132" customFormat="false" ht="16.5" hidden="false" customHeight="true" outlineLevel="0" collapsed="false">
      <c r="A132" s="11" t="s">
        <v>586</v>
      </c>
      <c r="B132" s="12" t="s">
        <v>587</v>
      </c>
      <c r="C132" s="13" t="n">
        <f aca="false">IF(A132="","",DATE(VALUE(LEFT(A132,4)),VALUE(MID(A132,5,2)),VALUE(MID(A132,7,2))))</f>
        <v>45510</v>
      </c>
      <c r="D132" s="15" t="s">
        <v>588</v>
      </c>
      <c r="E132" s="15" t="s">
        <v>589</v>
      </c>
      <c r="F132" s="12"/>
      <c r="G132" s="16" t="s">
        <v>41</v>
      </c>
      <c r="H132" s="16" t="s">
        <v>72</v>
      </c>
      <c r="I132" s="16" t="s">
        <v>54</v>
      </c>
      <c r="J132" s="16" t="s">
        <v>150</v>
      </c>
      <c r="K132" s="17" t="str">
        <f aca="false">IF(A132="","",_xlfn.TEXTJOIN(",",TRUE(),G132:J132))</f>
        <v>かわいい,コスプレ,サブカル,ロリータ</v>
      </c>
      <c r="L132" s="12"/>
    </row>
    <row r="133" customFormat="false" ht="16.5" hidden="false" customHeight="true" outlineLevel="0" collapsed="false">
      <c r="A133" s="11" t="s">
        <v>590</v>
      </c>
      <c r="B133" s="12" t="s">
        <v>591</v>
      </c>
      <c r="C133" s="13" t="n">
        <f aca="false">IF(A133="","",DATE(VALUE(LEFT(A133,4)),VALUE(MID(A133,5,2)),VALUE(MID(A133,7,2))))</f>
        <v>45492</v>
      </c>
      <c r="D133" s="15" t="s">
        <v>592</v>
      </c>
      <c r="E133" s="15" t="s">
        <v>593</v>
      </c>
      <c r="F133" s="12"/>
      <c r="G133" s="16" t="s">
        <v>67</v>
      </c>
      <c r="H133" s="16" t="s">
        <v>77</v>
      </c>
      <c r="I133" s="16" t="s">
        <v>35</v>
      </c>
      <c r="J133" s="16" t="s">
        <v>36</v>
      </c>
      <c r="K133" s="17" t="str">
        <f aca="false">IF(A133="","",_xlfn.TEXTJOIN(",",TRUE(),G133:J133))</f>
        <v>セクシー,ナチュラル,ガーリー,レトロ</v>
      </c>
      <c r="L133" s="12"/>
    </row>
    <row r="134" customFormat="false" ht="16.5" hidden="false" customHeight="true" outlineLevel="0" collapsed="false">
      <c r="A134" s="11" t="s">
        <v>594</v>
      </c>
      <c r="B134" s="12" t="s">
        <v>595</v>
      </c>
      <c r="C134" s="13" t="n">
        <f aca="false">IF(A134="","",DATE(VALUE(LEFT(A134,4)),VALUE(MID(A134,5,2)),VALUE(MID(A134,7,2))))</f>
        <v>45485</v>
      </c>
      <c r="D134" s="15" t="s">
        <v>596</v>
      </c>
      <c r="E134" s="15" t="s">
        <v>597</v>
      </c>
      <c r="F134" s="12"/>
      <c r="G134" s="16" t="s">
        <v>67</v>
      </c>
      <c r="H134" s="16" t="s">
        <v>54</v>
      </c>
      <c r="I134" s="16" t="s">
        <v>168</v>
      </c>
      <c r="J134" s="16" t="s">
        <v>53</v>
      </c>
      <c r="K134" s="17" t="str">
        <f aca="false">IF(A134="","",_xlfn.TEXTJOIN(",",TRUE(),G134:J134))</f>
        <v>セクシー,サブカル,韓国風,クール</v>
      </c>
      <c r="L134" s="12"/>
    </row>
    <row r="135" customFormat="false" ht="16.5" hidden="false" customHeight="true" outlineLevel="0" collapsed="false">
      <c r="A135" s="11" t="s">
        <v>598</v>
      </c>
      <c r="B135" s="12" t="s">
        <v>599</v>
      </c>
      <c r="C135" s="13" t="n">
        <f aca="false">IF(A135="","",DATE(VALUE(LEFT(A135,4)),VALUE(MID(A135,5,2)),VALUE(MID(A135,7,2))))</f>
        <v>45485</v>
      </c>
      <c r="D135" s="15" t="s">
        <v>600</v>
      </c>
      <c r="E135" s="15" t="s">
        <v>601</v>
      </c>
      <c r="F135" s="12"/>
      <c r="G135" s="16" t="s">
        <v>67</v>
      </c>
      <c r="H135" s="16" t="s">
        <v>77</v>
      </c>
      <c r="I135" s="16" t="s">
        <v>47</v>
      </c>
      <c r="J135" s="16" t="s">
        <v>145</v>
      </c>
      <c r="K135" s="17" t="str">
        <f aca="false">IF(A135="","",_xlfn.TEXTJOIN(",",TRUE(),G135:J135))</f>
        <v>セクシー,ナチュラル,大人っぽい,ギャル</v>
      </c>
      <c r="L135" s="12"/>
    </row>
    <row r="136" customFormat="false" ht="16.5" hidden="false" customHeight="true" outlineLevel="0" collapsed="false">
      <c r="A136" s="11" t="s">
        <v>602</v>
      </c>
      <c r="B136" s="12" t="s">
        <v>603</v>
      </c>
      <c r="C136" s="13" t="n">
        <f aca="false">IF(A136="","",DATE(VALUE(LEFT(A136,4)),VALUE(MID(A136,5,2)),VALUE(MID(A136,7,2))))</f>
        <v>45466</v>
      </c>
      <c r="D136" s="15" t="s">
        <v>604</v>
      </c>
      <c r="E136" s="15" t="s">
        <v>605</v>
      </c>
      <c r="F136" s="12"/>
      <c r="G136" s="16" t="s">
        <v>46</v>
      </c>
      <c r="H136" s="16" t="s">
        <v>53</v>
      </c>
      <c r="I136" s="16" t="s">
        <v>168</v>
      </c>
      <c r="J136" s="16" t="s">
        <v>145</v>
      </c>
      <c r="K136" s="17" t="str">
        <f aca="false">IF(A136="","",_xlfn.TEXTJOIN(",",TRUE(),G136:J136))</f>
        <v>きれいめ,クール,韓国風,ギャル</v>
      </c>
      <c r="L136" s="12"/>
    </row>
    <row r="137" customFormat="false" ht="16.5" hidden="false" customHeight="true" outlineLevel="0" collapsed="false">
      <c r="A137" s="11" t="s">
        <v>606</v>
      </c>
      <c r="B137" s="12" t="s">
        <v>237</v>
      </c>
      <c r="C137" s="13" t="n">
        <f aca="false">IF(A137="","",DATE(VALUE(LEFT(A137,4)),VALUE(MID(A137,5,2)),VALUE(MID(A137,7,2))))</f>
        <v>45443</v>
      </c>
      <c r="D137" s="15" t="s">
        <v>607</v>
      </c>
      <c r="E137" s="15" t="s">
        <v>608</v>
      </c>
      <c r="F137" s="12"/>
      <c r="G137" s="16" t="s">
        <v>46</v>
      </c>
      <c r="H137" s="16" t="s">
        <v>33</v>
      </c>
      <c r="I137" s="16" t="s">
        <v>77</v>
      </c>
      <c r="J137" s="16" t="s">
        <v>35</v>
      </c>
      <c r="K137" s="17" t="str">
        <f aca="false">IF(A137="","",_xlfn.TEXTJOIN(",",TRUE(),G137:J137))</f>
        <v>きれいめ,清楚,ナチュラル,ガーリー</v>
      </c>
      <c r="L137" s="12"/>
    </row>
    <row r="138" customFormat="false" ht="16.5" hidden="false" customHeight="true" outlineLevel="0" collapsed="false">
      <c r="A138" s="11" t="s">
        <v>609</v>
      </c>
      <c r="B138" s="15" t="s">
        <v>610</v>
      </c>
      <c r="C138" s="13" t="n">
        <f aca="false">IF(A138="","",DATE(VALUE(LEFT(A138,4)),VALUE(MID(A138,5,2)),VALUE(MID(A138,7,2))))</f>
        <v>45429</v>
      </c>
      <c r="D138" s="15" t="s">
        <v>611</v>
      </c>
      <c r="E138" s="15" t="s">
        <v>612</v>
      </c>
      <c r="F138" s="12"/>
      <c r="G138" s="16" t="s">
        <v>46</v>
      </c>
      <c r="H138" s="16" t="s">
        <v>53</v>
      </c>
      <c r="I138" s="16" t="s">
        <v>77</v>
      </c>
      <c r="J138" s="16" t="s">
        <v>78</v>
      </c>
      <c r="K138" s="17" t="str">
        <f aca="false">IF(A138="","",_xlfn.TEXTJOIN(",",TRUE(),G138:J138))</f>
        <v>きれいめ,クール,ナチュラル,モード</v>
      </c>
      <c r="L138" s="12"/>
    </row>
    <row r="139" customFormat="false" ht="16.5" hidden="false" customHeight="true" outlineLevel="0" collapsed="false">
      <c r="A139" s="11" t="s">
        <v>613</v>
      </c>
      <c r="B139" s="12" t="s">
        <v>614</v>
      </c>
      <c r="C139" s="13" t="n">
        <f aca="false">IF(A139="","",DATE(VALUE(LEFT(A139,4)),VALUE(MID(A139,5,2)),VALUE(MID(A139,7,2))))</f>
        <v>45418</v>
      </c>
      <c r="D139" s="15" t="s">
        <v>615</v>
      </c>
      <c r="E139" s="15" t="s">
        <v>616</v>
      </c>
      <c r="F139" s="12"/>
      <c r="G139" s="16" t="s">
        <v>77</v>
      </c>
      <c r="H139" s="16" t="s">
        <v>41</v>
      </c>
      <c r="I139" s="16" t="s">
        <v>54</v>
      </c>
      <c r="J139" s="16" t="s">
        <v>72</v>
      </c>
      <c r="K139" s="17" t="str">
        <f aca="false">IF(A139="","",_xlfn.TEXTJOIN(",",TRUE(),G139:J139))</f>
        <v>ナチュラル,かわいい,サブカル,コスプレ</v>
      </c>
      <c r="L139" s="12"/>
    </row>
    <row r="140" customFormat="false" ht="16.5" hidden="false" customHeight="true" outlineLevel="0" collapsed="false">
      <c r="A140" s="11" t="s">
        <v>617</v>
      </c>
      <c r="B140" s="12" t="s">
        <v>618</v>
      </c>
      <c r="C140" s="13" t="n">
        <f aca="false">IF(A140="","",DATE(VALUE(LEFT(A140,4)),VALUE(MID(A140,5,2)),VALUE(MID(A140,7,2))))</f>
        <v>45417</v>
      </c>
      <c r="D140" s="15" t="s">
        <v>619</v>
      </c>
      <c r="E140" s="15" t="s">
        <v>620</v>
      </c>
      <c r="F140" s="12"/>
      <c r="G140" s="16" t="s">
        <v>46</v>
      </c>
      <c r="H140" s="16" t="s">
        <v>33</v>
      </c>
      <c r="I140" s="16" t="s">
        <v>47</v>
      </c>
      <c r="J140" s="16" t="s">
        <v>53</v>
      </c>
      <c r="K140" s="17" t="str">
        <f aca="false">IF(A140="","",_xlfn.TEXTJOIN(",",TRUE(),G140:J140))</f>
        <v>きれいめ,清楚,大人っぽい,クール</v>
      </c>
      <c r="L140" s="12"/>
    </row>
    <row r="141" customFormat="false" ht="16.5" hidden="false" customHeight="true" outlineLevel="0" collapsed="false">
      <c r="A141" s="11" t="s">
        <v>621</v>
      </c>
      <c r="B141" s="15" t="s">
        <v>622</v>
      </c>
      <c r="C141" s="13" t="n">
        <f aca="false">IF(A141="","",DATE(VALUE(LEFT(A141,4)),VALUE(MID(A141,5,2)),VALUE(MID(A141,7,2))))</f>
        <v>45415</v>
      </c>
      <c r="D141" s="15" t="s">
        <v>623</v>
      </c>
      <c r="E141" s="15" t="s">
        <v>624</v>
      </c>
      <c r="F141" s="12"/>
      <c r="G141" s="16" t="s">
        <v>35</v>
      </c>
      <c r="H141" s="16" t="s">
        <v>52</v>
      </c>
      <c r="I141" s="16" t="s">
        <v>77</v>
      </c>
      <c r="J141" s="16" t="s">
        <v>54</v>
      </c>
      <c r="K141" s="17" t="str">
        <f aca="false">IF(A141="","",_xlfn.TEXTJOIN(",",TRUE(),G141:J141))</f>
        <v>ガーリー,カジュアル,ナチュラル,サブカル</v>
      </c>
      <c r="L141" s="12"/>
    </row>
    <row r="142" customFormat="false" ht="16.5" hidden="false" customHeight="true" outlineLevel="0" collapsed="false">
      <c r="A142" s="11" t="s">
        <v>625</v>
      </c>
      <c r="B142" s="12" t="s">
        <v>626</v>
      </c>
      <c r="C142" s="13" t="n">
        <f aca="false">IF(A142="","",DATE(VALUE(LEFT(A142,4)),VALUE(MID(A142,5,2)),VALUE(MID(A142,7,2))))</f>
        <v>45404</v>
      </c>
      <c r="D142" s="15" t="s">
        <v>627</v>
      </c>
      <c r="E142" s="15" t="s">
        <v>628</v>
      </c>
      <c r="F142" s="12"/>
      <c r="G142" s="16" t="s">
        <v>35</v>
      </c>
      <c r="H142" s="16" t="s">
        <v>67</v>
      </c>
      <c r="I142" s="16" t="s">
        <v>168</v>
      </c>
      <c r="J142" s="16" t="s">
        <v>145</v>
      </c>
      <c r="K142" s="17" t="str">
        <f aca="false">IF(A142="","",_xlfn.TEXTJOIN(",",TRUE(),G142:J142))</f>
        <v>ガーリー,セクシー,韓国風,ギャル</v>
      </c>
      <c r="L142" s="12"/>
    </row>
    <row r="143" customFormat="false" ht="16.5" hidden="false" customHeight="true" outlineLevel="0" collapsed="false">
      <c r="A143" s="11" t="s">
        <v>629</v>
      </c>
      <c r="B143" s="12" t="s">
        <v>630</v>
      </c>
      <c r="C143" s="13" t="n">
        <f aca="false">IF(A143="","",DATE(VALUE(LEFT(A143,4)),VALUE(MID(A143,5,2)),VALUE(MID(A143,7,2))))</f>
        <v>45394</v>
      </c>
      <c r="D143" s="15" t="s">
        <v>631</v>
      </c>
      <c r="E143" s="15" t="s">
        <v>632</v>
      </c>
      <c r="F143" s="12"/>
      <c r="G143" s="16" t="s">
        <v>33</v>
      </c>
      <c r="H143" s="16" t="s">
        <v>77</v>
      </c>
      <c r="I143" s="16" t="s">
        <v>52</v>
      </c>
      <c r="J143" s="16" t="s">
        <v>47</v>
      </c>
      <c r="K143" s="17" t="str">
        <f aca="false">IF(A143="","",_xlfn.TEXTJOIN(",",TRUE(),G143:J143))</f>
        <v>清楚,ナチュラル,カジュアル,大人っぽい</v>
      </c>
      <c r="L143" s="12"/>
    </row>
    <row r="144" customFormat="false" ht="16.5" hidden="false" customHeight="true" outlineLevel="0" collapsed="false">
      <c r="A144" s="11" t="s">
        <v>633</v>
      </c>
      <c r="B144" s="12" t="s">
        <v>634</v>
      </c>
      <c r="C144" s="13" t="n">
        <f aca="false">IF(A144="","",DATE(VALUE(LEFT(A144,4)),VALUE(MID(A144,5,2)),VALUE(MID(A144,7,2))))</f>
        <v>45394</v>
      </c>
      <c r="D144" s="15" t="s">
        <v>635</v>
      </c>
      <c r="E144" s="15" t="s">
        <v>636</v>
      </c>
      <c r="F144" s="12"/>
      <c r="G144" s="16" t="s">
        <v>67</v>
      </c>
      <c r="H144" s="16" t="s">
        <v>77</v>
      </c>
      <c r="I144" s="16" t="s">
        <v>52</v>
      </c>
      <c r="J144" s="16" t="s">
        <v>54</v>
      </c>
      <c r="K144" s="17" t="str">
        <f aca="false">IF(A144="","",_xlfn.TEXTJOIN(",",TRUE(),G144:J144))</f>
        <v>セクシー,ナチュラル,カジュアル,サブカル</v>
      </c>
      <c r="L144" s="12"/>
    </row>
    <row r="145" customFormat="false" ht="16.5" hidden="false" customHeight="true" outlineLevel="0" collapsed="false">
      <c r="A145" s="11" t="s">
        <v>637</v>
      </c>
      <c r="B145" s="12" t="s">
        <v>638</v>
      </c>
      <c r="C145" s="13" t="n">
        <f aca="false">IF(A145="","",DATE(VALUE(LEFT(A145,4)),VALUE(MID(A145,5,2)),VALUE(MID(A145,7,2))))</f>
        <v>45387</v>
      </c>
      <c r="D145" s="15" t="s">
        <v>639</v>
      </c>
      <c r="E145" s="15" t="s">
        <v>640</v>
      </c>
      <c r="F145" s="12"/>
      <c r="G145" s="16" t="s">
        <v>35</v>
      </c>
      <c r="H145" s="16" t="s">
        <v>41</v>
      </c>
      <c r="I145" s="16" t="s">
        <v>54</v>
      </c>
      <c r="J145" s="16" t="s">
        <v>72</v>
      </c>
      <c r="K145" s="17" t="str">
        <f aca="false">IF(A145="","",_xlfn.TEXTJOIN(",",TRUE(),G145:J145))</f>
        <v>ガーリー,かわいい,サブカル,コスプレ</v>
      </c>
      <c r="L145" s="12"/>
    </row>
    <row r="146" customFormat="false" ht="16.5" hidden="false" customHeight="true" outlineLevel="0" collapsed="false">
      <c r="A146" s="11" t="s">
        <v>641</v>
      </c>
      <c r="B146" s="12" t="s">
        <v>642</v>
      </c>
      <c r="C146" s="13" t="n">
        <f aca="false">IF(A146="","",DATE(VALUE(LEFT(A146,4)),VALUE(MID(A146,5,2)),VALUE(MID(A146,7,2))))</f>
        <v>45387</v>
      </c>
      <c r="D146" s="15" t="s">
        <v>643</v>
      </c>
      <c r="E146" s="15" t="s">
        <v>644</v>
      </c>
      <c r="F146" s="12"/>
      <c r="G146" s="16" t="s">
        <v>77</v>
      </c>
      <c r="H146" s="16" t="s">
        <v>52</v>
      </c>
      <c r="I146" s="16" t="s">
        <v>145</v>
      </c>
      <c r="J146" s="16" t="s">
        <v>41</v>
      </c>
      <c r="K146" s="17" t="str">
        <f aca="false">IF(A146="","",_xlfn.TEXTJOIN(",",TRUE(),G146:J146))</f>
        <v>ナチュラル,カジュアル,ギャル,かわいい</v>
      </c>
      <c r="L146" s="12"/>
    </row>
    <row r="147" customFormat="false" ht="16.5" hidden="false" customHeight="true" outlineLevel="0" collapsed="false">
      <c r="A147" s="11" t="s">
        <v>645</v>
      </c>
      <c r="B147" s="15" t="s">
        <v>646</v>
      </c>
      <c r="C147" s="13" t="n">
        <f aca="false">IF(A147="","",DATE(VALUE(LEFT(A147,4)),VALUE(MID(A147,5,2)),VALUE(MID(A147,7,2))))</f>
        <v>45369</v>
      </c>
      <c r="D147" s="15" t="s">
        <v>647</v>
      </c>
      <c r="E147" s="15" t="s">
        <v>648</v>
      </c>
      <c r="F147" s="12"/>
      <c r="G147" s="16" t="s">
        <v>67</v>
      </c>
      <c r="H147" s="16" t="s">
        <v>47</v>
      </c>
      <c r="I147" s="16" t="s">
        <v>145</v>
      </c>
      <c r="J147" s="16" t="s">
        <v>115</v>
      </c>
      <c r="K147" s="17" t="str">
        <f aca="false">IF(A147="","",_xlfn.TEXTJOIN(",",TRUE(),G147:J147))</f>
        <v>セクシー,大人っぽい,ギャル,ボーイッシュ</v>
      </c>
      <c r="L147" s="12"/>
    </row>
    <row r="148" customFormat="false" ht="16.5" hidden="false" customHeight="true" outlineLevel="0" collapsed="false">
      <c r="A148" s="11" t="s">
        <v>649</v>
      </c>
      <c r="B148" s="15" t="s">
        <v>650</v>
      </c>
      <c r="C148" s="13" t="n">
        <f aca="false">IF(A148="","",DATE(VALUE(LEFT(A148,4)),VALUE(MID(A148,5,2)),VALUE(MID(A148,7,2))))</f>
        <v>45361</v>
      </c>
      <c r="D148" s="15" t="s">
        <v>651</v>
      </c>
      <c r="E148" s="15" t="s">
        <v>652</v>
      </c>
      <c r="F148" s="12"/>
      <c r="G148" s="16" t="s">
        <v>41</v>
      </c>
      <c r="H148" s="16" t="s">
        <v>77</v>
      </c>
      <c r="I148" s="16" t="s">
        <v>35</v>
      </c>
      <c r="J148" s="16" t="s">
        <v>52</v>
      </c>
      <c r="K148" s="17" t="str">
        <f aca="false">IF(A148="","",_xlfn.TEXTJOIN(",",TRUE(),G148:J148))</f>
        <v>かわいい,ナチュラル,ガーリー,カジュアル</v>
      </c>
      <c r="L148" s="12"/>
    </row>
    <row r="149" customFormat="false" ht="16.5" hidden="false" customHeight="true" outlineLevel="0" collapsed="false">
      <c r="A149" s="11" t="s">
        <v>653</v>
      </c>
      <c r="B149" s="12" t="s">
        <v>654</v>
      </c>
      <c r="C149" s="13" t="n">
        <f aca="false">IF(A149="","",DATE(VALUE(LEFT(A149,4)),VALUE(MID(A149,5,2)),VALUE(MID(A149,7,2))))</f>
        <v>45355</v>
      </c>
      <c r="D149" s="15" t="s">
        <v>655</v>
      </c>
      <c r="E149" s="15" t="s">
        <v>656</v>
      </c>
      <c r="F149" s="12"/>
      <c r="G149" s="16" t="s">
        <v>77</v>
      </c>
      <c r="H149" s="16" t="s">
        <v>35</v>
      </c>
      <c r="I149" s="16" t="s">
        <v>115</v>
      </c>
      <c r="J149" s="16" t="s">
        <v>36</v>
      </c>
      <c r="K149" s="17" t="str">
        <f aca="false">IF(A149="","",_xlfn.TEXTJOIN(",",TRUE(),G149:J149))</f>
        <v>ナチュラル,ガーリー,ボーイッシュ,レトロ</v>
      </c>
      <c r="L149" s="12"/>
    </row>
    <row r="150" customFormat="false" ht="16.5" hidden="false" customHeight="true" outlineLevel="0" collapsed="false">
      <c r="A150" s="11" t="s">
        <v>657</v>
      </c>
      <c r="B150" s="12" t="s">
        <v>658</v>
      </c>
      <c r="C150" s="13" t="n">
        <f aca="false">IF(A150="","",DATE(VALUE(LEFT(A150,4)),VALUE(MID(A150,5,2)),VALUE(MID(A150,7,2))))</f>
        <v>45345</v>
      </c>
      <c r="D150" s="15" t="s">
        <v>659</v>
      </c>
      <c r="E150" s="15" t="s">
        <v>660</v>
      </c>
      <c r="F150" s="12"/>
      <c r="G150" s="16" t="s">
        <v>41</v>
      </c>
      <c r="H150" s="16" t="s">
        <v>53</v>
      </c>
      <c r="I150" s="16" t="s">
        <v>168</v>
      </c>
      <c r="J150" s="16" t="s">
        <v>54</v>
      </c>
      <c r="K150" s="17" t="str">
        <f aca="false">IF(A150="","",_xlfn.TEXTJOIN(",",TRUE(),G150:J150))</f>
        <v>かわいい,クール,韓国風,サブカル</v>
      </c>
      <c r="L150" s="12"/>
    </row>
    <row r="151" customFormat="false" ht="16.5" hidden="false" customHeight="true" outlineLevel="0" collapsed="false">
      <c r="A151" s="11" t="s">
        <v>661</v>
      </c>
      <c r="B151" s="12" t="s">
        <v>662</v>
      </c>
      <c r="C151" s="13" t="n">
        <f aca="false">IF(A151="","",DATE(VALUE(LEFT(A151,4)),VALUE(MID(A151,5,2)),VALUE(MID(A151,7,2))))</f>
        <v>45339</v>
      </c>
      <c r="D151" s="15" t="s">
        <v>663</v>
      </c>
      <c r="E151" s="15" t="s">
        <v>664</v>
      </c>
      <c r="F151" s="12"/>
      <c r="G151" s="16" t="s">
        <v>41</v>
      </c>
      <c r="H151" s="16" t="s">
        <v>34</v>
      </c>
      <c r="I151" s="16" t="s">
        <v>35</v>
      </c>
      <c r="J151" s="16" t="s">
        <v>168</v>
      </c>
      <c r="K151" s="17" t="str">
        <f aca="false">IF(A151="","",_xlfn.TEXTJOIN(",",TRUE(),G151:J151))</f>
        <v>かわいい,フェミニン,ガーリー,韓国風</v>
      </c>
      <c r="L151" s="12"/>
    </row>
    <row r="152" customFormat="false" ht="16.5" hidden="false" customHeight="true" outlineLevel="0" collapsed="false">
      <c r="A152" s="11" t="s">
        <v>665</v>
      </c>
      <c r="B152" s="12" t="s">
        <v>666</v>
      </c>
      <c r="C152" s="13" t="n">
        <f aca="false">IF(A152="","",DATE(VALUE(LEFT(A152,4)),VALUE(MID(A152,5,2)),VALUE(MID(A152,7,2))))</f>
        <v>45338</v>
      </c>
      <c r="D152" s="15" t="s">
        <v>667</v>
      </c>
      <c r="E152" s="15" t="s">
        <v>668</v>
      </c>
      <c r="F152" s="12"/>
      <c r="G152" s="16" t="s">
        <v>77</v>
      </c>
      <c r="H152" s="16" t="s">
        <v>35</v>
      </c>
      <c r="I152" s="16" t="s">
        <v>52</v>
      </c>
      <c r="J152" s="16" t="s">
        <v>33</v>
      </c>
      <c r="K152" s="17" t="str">
        <f aca="false">IF(A152="","",_xlfn.TEXTJOIN(",",TRUE(),G152:J152))</f>
        <v>ナチュラル,ガーリー,カジュアル,清楚</v>
      </c>
      <c r="L152" s="12"/>
    </row>
    <row r="153" customFormat="false" ht="16.5" hidden="false" customHeight="true" outlineLevel="0" collapsed="false">
      <c r="A153" s="11" t="s">
        <v>669</v>
      </c>
      <c r="B153" s="12" t="s">
        <v>670</v>
      </c>
      <c r="C153" s="13" t="n">
        <f aca="false">IF(A153="","",DATE(VALUE(LEFT(A153,4)),VALUE(MID(A153,5,2)),VALUE(MID(A153,7,2))))</f>
        <v>45338</v>
      </c>
      <c r="D153" s="15" t="s">
        <v>671</v>
      </c>
      <c r="E153" s="15" t="s">
        <v>672</v>
      </c>
      <c r="F153" s="12"/>
      <c r="G153" s="16" t="s">
        <v>47</v>
      </c>
      <c r="H153" s="16" t="s">
        <v>53</v>
      </c>
      <c r="I153" s="16" t="s">
        <v>77</v>
      </c>
      <c r="J153" s="16" t="s">
        <v>115</v>
      </c>
      <c r="K153" s="17" t="str">
        <f aca="false">IF(A153="","",_xlfn.TEXTJOIN(",",TRUE(),G153:J153))</f>
        <v>大人っぽい,クール,ナチュラル,ボーイッシュ</v>
      </c>
      <c r="L153" s="12"/>
    </row>
    <row r="154" customFormat="false" ht="16.5" hidden="false" customHeight="true" outlineLevel="0" collapsed="false">
      <c r="A154" s="11" t="s">
        <v>673</v>
      </c>
      <c r="B154" s="12" t="s">
        <v>674</v>
      </c>
      <c r="C154" s="13" t="n">
        <f aca="false">IF(A154="","",DATE(VALUE(LEFT(A154,4)),VALUE(MID(A154,5,2)),VALUE(MID(A154,7,2))))</f>
        <v>45317</v>
      </c>
      <c r="D154" s="15" t="s">
        <v>675</v>
      </c>
      <c r="E154" s="15" t="s">
        <v>676</v>
      </c>
      <c r="F154" s="12"/>
      <c r="G154" s="16" t="s">
        <v>41</v>
      </c>
      <c r="H154" s="16" t="s">
        <v>54</v>
      </c>
      <c r="I154" s="16" t="s">
        <v>72</v>
      </c>
      <c r="J154" s="16" t="s">
        <v>78</v>
      </c>
      <c r="K154" s="17" t="str">
        <f aca="false">IF(A154="","",_xlfn.TEXTJOIN(",",TRUE(),G154:J154))</f>
        <v>かわいい,サブカル,コスプレ,モード</v>
      </c>
      <c r="L154" s="12"/>
    </row>
    <row r="155" customFormat="false" ht="16.5" hidden="false" customHeight="true" outlineLevel="0" collapsed="false">
      <c r="A155" s="11" t="s">
        <v>677</v>
      </c>
      <c r="B155" s="12" t="s">
        <v>678</v>
      </c>
      <c r="C155" s="13" t="n">
        <f aca="false">IF(A155="","",DATE(VALUE(LEFT(A155,4)),VALUE(MID(A155,5,2)),VALUE(MID(A155,7,2))))</f>
        <v>45311</v>
      </c>
      <c r="D155" s="15" t="s">
        <v>679</v>
      </c>
      <c r="E155" s="15" t="s">
        <v>680</v>
      </c>
      <c r="F155" s="12"/>
      <c r="G155" s="16" t="s">
        <v>34</v>
      </c>
      <c r="H155" s="16" t="s">
        <v>47</v>
      </c>
      <c r="I155" s="16" t="s">
        <v>67</v>
      </c>
      <c r="J155" s="16" t="s">
        <v>36</v>
      </c>
      <c r="K155" s="17" t="str">
        <f aca="false">IF(A155="","",_xlfn.TEXTJOIN(",",TRUE(),G155:J155))</f>
        <v>フェミニン,大人っぽい,セクシー,レトロ</v>
      </c>
      <c r="L155" s="12"/>
    </row>
    <row r="156" customFormat="false" ht="16.5" hidden="false" customHeight="true" outlineLevel="0" collapsed="false">
      <c r="A156" s="11" t="s">
        <v>681</v>
      </c>
      <c r="B156" s="12" t="s">
        <v>682</v>
      </c>
      <c r="C156" s="13" t="n">
        <f aca="false">IF(A156="","",DATE(VALUE(LEFT(A156,4)),VALUE(MID(A156,5,2)),VALUE(MID(A156,7,2))))</f>
        <v>45311</v>
      </c>
      <c r="D156" s="15" t="s">
        <v>683</v>
      </c>
      <c r="E156" s="15" t="s">
        <v>684</v>
      </c>
      <c r="F156" s="12"/>
      <c r="G156" s="16" t="s">
        <v>47</v>
      </c>
      <c r="H156" s="16" t="s">
        <v>67</v>
      </c>
      <c r="I156" s="16" t="s">
        <v>53</v>
      </c>
      <c r="J156" s="16" t="s">
        <v>52</v>
      </c>
      <c r="K156" s="17" t="str">
        <f aca="false">IF(A156="","",_xlfn.TEXTJOIN(",",TRUE(),G156:J156))</f>
        <v>大人っぽい,セクシー,クール,カジュアル</v>
      </c>
      <c r="L156" s="12"/>
    </row>
    <row r="157" customFormat="false" ht="16.5" hidden="false" customHeight="true" outlineLevel="0" collapsed="false">
      <c r="A157" s="11" t="s">
        <v>685</v>
      </c>
      <c r="B157" s="12" t="s">
        <v>686</v>
      </c>
      <c r="C157" s="13" t="n">
        <f aca="false">IF(A157="","",DATE(VALUE(LEFT(A157,4)),VALUE(MID(A157,5,2)),VALUE(MID(A157,7,2))))</f>
        <v>45311</v>
      </c>
      <c r="D157" s="15" t="s">
        <v>687</v>
      </c>
      <c r="E157" s="15" t="s">
        <v>688</v>
      </c>
      <c r="F157" s="12"/>
      <c r="G157" s="16" t="s">
        <v>77</v>
      </c>
      <c r="H157" s="16" t="s">
        <v>115</v>
      </c>
      <c r="I157" s="16" t="s">
        <v>54</v>
      </c>
      <c r="J157" s="16" t="s">
        <v>72</v>
      </c>
      <c r="K157" s="17" t="str">
        <f aca="false">IF(A157="","",_xlfn.TEXTJOIN(",",TRUE(),G157:J157))</f>
        <v>ナチュラル,ボーイッシュ,サブカル,コスプレ</v>
      </c>
      <c r="L157" s="12"/>
    </row>
    <row r="158" customFormat="false" ht="16.5" hidden="false" customHeight="true" outlineLevel="0" collapsed="false">
      <c r="A158" s="11" t="s">
        <v>689</v>
      </c>
      <c r="B158" s="12" t="s">
        <v>690</v>
      </c>
      <c r="C158" s="13" t="n">
        <f aca="false">IF(A158="","",DATE(VALUE(LEFT(A158,4)),VALUE(MID(A158,5,2)),VALUE(MID(A158,7,2))))</f>
        <v>45303</v>
      </c>
      <c r="D158" s="15" t="s">
        <v>691</v>
      </c>
      <c r="E158" s="15" t="s">
        <v>692</v>
      </c>
      <c r="F158" s="12"/>
      <c r="G158" s="16" t="s">
        <v>47</v>
      </c>
      <c r="H158" s="16" t="s">
        <v>67</v>
      </c>
      <c r="I158" s="16" t="s">
        <v>77</v>
      </c>
      <c r="J158" s="16" t="s">
        <v>53</v>
      </c>
      <c r="K158" s="17" t="str">
        <f aca="false">IF(A158="","",_xlfn.TEXTJOIN(",",TRUE(),G158:J158))</f>
        <v>大人っぽい,セクシー,ナチュラル,クール</v>
      </c>
      <c r="L158" s="12"/>
    </row>
    <row r="159" customFormat="false" ht="16.5" hidden="false" customHeight="true" outlineLevel="0" collapsed="false">
      <c r="A159" s="11" t="s">
        <v>693</v>
      </c>
      <c r="B159" s="12" t="s">
        <v>694</v>
      </c>
      <c r="C159" s="13" t="n">
        <f aca="false">IF(A159="","",DATE(VALUE(LEFT(A159,4)),VALUE(MID(A159,5,2)),VALUE(MID(A159,7,2))))</f>
        <v>45282</v>
      </c>
      <c r="D159" s="15" t="s">
        <v>695</v>
      </c>
      <c r="E159" s="15" t="s">
        <v>696</v>
      </c>
      <c r="F159" s="12"/>
      <c r="G159" s="16" t="s">
        <v>41</v>
      </c>
      <c r="H159" s="16" t="s">
        <v>34</v>
      </c>
      <c r="I159" s="16" t="s">
        <v>35</v>
      </c>
      <c r="J159" s="16" t="s">
        <v>145</v>
      </c>
      <c r="K159" s="17" t="str">
        <f aca="false">IF(A159="","",_xlfn.TEXTJOIN(",",TRUE(),G159:J159))</f>
        <v>かわいい,フェミニン,ガーリー,ギャル</v>
      </c>
      <c r="L159" s="12"/>
    </row>
    <row r="160" customFormat="false" ht="16.5" hidden="false" customHeight="true" outlineLevel="0" collapsed="false">
      <c r="A160" s="11" t="s">
        <v>697</v>
      </c>
      <c r="B160" s="12" t="s">
        <v>698</v>
      </c>
      <c r="C160" s="13" t="n">
        <f aca="false">IF(A160="","",DATE(VALUE(LEFT(A160,4)),VALUE(MID(A160,5,2)),VALUE(MID(A160,7,2))))</f>
        <v>45277</v>
      </c>
      <c r="D160" s="15" t="s">
        <v>699</v>
      </c>
      <c r="E160" s="15" t="s">
        <v>700</v>
      </c>
      <c r="F160" s="12"/>
      <c r="G160" s="16" t="s">
        <v>77</v>
      </c>
      <c r="H160" s="16" t="s">
        <v>34</v>
      </c>
      <c r="I160" s="16" t="s">
        <v>35</v>
      </c>
      <c r="J160" s="16" t="s">
        <v>78</v>
      </c>
      <c r="K160" s="17" t="str">
        <f aca="false">IF(A160="","",_xlfn.TEXTJOIN(",",TRUE(),G160:J160))</f>
        <v>ナチュラル,フェミニン,ガーリー,モード</v>
      </c>
      <c r="L160" s="12"/>
    </row>
    <row r="161" customFormat="false" ht="16.5" hidden="false" customHeight="true" outlineLevel="0" collapsed="false">
      <c r="A161" s="11" t="s">
        <v>701</v>
      </c>
      <c r="B161" s="12" t="s">
        <v>702</v>
      </c>
      <c r="C161" s="13" t="n">
        <f aca="false">IF(A161="","",DATE(VALUE(LEFT(A161,4)),VALUE(MID(A161,5,2)),VALUE(MID(A161,7,2))))</f>
        <v>45275</v>
      </c>
      <c r="D161" s="15" t="s">
        <v>703</v>
      </c>
      <c r="E161" s="15" t="s">
        <v>704</v>
      </c>
      <c r="F161" s="12"/>
      <c r="G161" s="16" t="s">
        <v>52</v>
      </c>
      <c r="H161" s="16" t="s">
        <v>115</v>
      </c>
      <c r="I161" s="16" t="s">
        <v>77</v>
      </c>
      <c r="J161" s="16" t="s">
        <v>54</v>
      </c>
      <c r="K161" s="17" t="str">
        <f aca="false">IF(A161="","",_xlfn.TEXTJOIN(",",TRUE(),G161:J161))</f>
        <v>カジュアル,ボーイッシュ,ナチュラル,サブカル</v>
      </c>
      <c r="L161" s="12"/>
    </row>
    <row r="162" customFormat="false" ht="16.5" hidden="false" customHeight="true" outlineLevel="0" collapsed="false">
      <c r="A162" s="11" t="s">
        <v>705</v>
      </c>
      <c r="B162" s="12" t="s">
        <v>706</v>
      </c>
      <c r="C162" s="13" t="n">
        <f aca="false">IF(A162="","",DATE(VALUE(LEFT(A162,4)),VALUE(MID(A162,5,2)),VALUE(MID(A162,7,2))))</f>
        <v>45263</v>
      </c>
      <c r="D162" s="15" t="s">
        <v>707</v>
      </c>
      <c r="E162" s="15" t="s">
        <v>708</v>
      </c>
      <c r="F162" s="12"/>
      <c r="G162" s="16" t="s">
        <v>33</v>
      </c>
      <c r="H162" s="16" t="s">
        <v>77</v>
      </c>
      <c r="I162" s="16" t="s">
        <v>34</v>
      </c>
      <c r="J162" s="16" t="s">
        <v>52</v>
      </c>
      <c r="K162" s="17" t="str">
        <f aca="false">IF(A162="","",_xlfn.TEXTJOIN(",",TRUE(),G162:J162))</f>
        <v>清楚,ナチュラル,フェミニン,カジュアル</v>
      </c>
      <c r="L162" s="12"/>
    </row>
    <row r="163" customFormat="false" ht="16.5" hidden="false" customHeight="true" outlineLevel="0" collapsed="false">
      <c r="A163" s="11" t="s">
        <v>709</v>
      </c>
      <c r="B163" s="12" t="s">
        <v>710</v>
      </c>
      <c r="C163" s="13" t="n">
        <f aca="false">IF(A163="","",DATE(VALUE(LEFT(A163,4)),VALUE(MID(A163,5,2)),VALUE(MID(A163,7,2))))</f>
        <v>45251</v>
      </c>
      <c r="D163" s="15" t="s">
        <v>711</v>
      </c>
      <c r="E163" s="15" t="s">
        <v>712</v>
      </c>
      <c r="F163" s="12"/>
      <c r="G163" s="16" t="s">
        <v>41</v>
      </c>
      <c r="H163" s="16" t="s">
        <v>52</v>
      </c>
      <c r="I163" s="16" t="s">
        <v>77</v>
      </c>
      <c r="J163" s="16" t="s">
        <v>35</v>
      </c>
      <c r="K163" s="17" t="str">
        <f aca="false">IF(A163="","",_xlfn.TEXTJOIN(",",TRUE(),G163:J163))</f>
        <v>かわいい,カジュアル,ナチュラル,ガーリー</v>
      </c>
      <c r="L163" s="12"/>
    </row>
    <row r="164" customFormat="false" ht="16.5" hidden="false" customHeight="true" outlineLevel="0" collapsed="false">
      <c r="A164" s="11" t="s">
        <v>713</v>
      </c>
      <c r="B164" s="12" t="s">
        <v>714</v>
      </c>
      <c r="C164" s="13" t="n">
        <f aca="false">IF(A164="","",DATE(VALUE(LEFT(A164,4)),VALUE(MID(A164,5,2)),VALUE(MID(A164,7,2))))</f>
        <v>45251</v>
      </c>
      <c r="D164" s="15" t="s">
        <v>715</v>
      </c>
      <c r="E164" s="15" t="s">
        <v>716</v>
      </c>
      <c r="F164" s="12"/>
      <c r="G164" s="16" t="s">
        <v>77</v>
      </c>
      <c r="H164" s="16" t="s">
        <v>52</v>
      </c>
      <c r="I164" s="16" t="s">
        <v>115</v>
      </c>
      <c r="J164" s="16" t="s">
        <v>36</v>
      </c>
      <c r="K164" s="17" t="str">
        <f aca="false">IF(A164="","",_xlfn.TEXTJOIN(",",TRUE(),G164:J164))</f>
        <v>ナチュラル,カジュアル,ボーイッシュ,レトロ</v>
      </c>
      <c r="L164" s="12"/>
    </row>
    <row r="165" customFormat="false" ht="16.5" hidden="false" customHeight="true" outlineLevel="0" collapsed="false">
      <c r="A165" s="11" t="s">
        <v>717</v>
      </c>
      <c r="B165" s="12" t="s">
        <v>718</v>
      </c>
      <c r="C165" s="13" t="n">
        <f aca="false">IF(A165="","",DATE(VALUE(LEFT(A165,4)),VALUE(MID(A165,5,2)),VALUE(MID(A165,7,2))))</f>
        <v>45251</v>
      </c>
      <c r="D165" s="15" t="s">
        <v>719</v>
      </c>
      <c r="E165" s="15" t="s">
        <v>720</v>
      </c>
      <c r="F165" s="12"/>
      <c r="G165" s="16" t="s">
        <v>41</v>
      </c>
      <c r="H165" s="16" t="s">
        <v>77</v>
      </c>
      <c r="I165" s="16" t="s">
        <v>35</v>
      </c>
      <c r="J165" s="16" t="s">
        <v>52</v>
      </c>
      <c r="K165" s="17" t="str">
        <f aca="false">IF(A165="","",_xlfn.TEXTJOIN(",",TRUE(),G165:J165))</f>
        <v>かわいい,ナチュラル,ガーリー,カジュアル</v>
      </c>
      <c r="L165" s="12"/>
    </row>
    <row r="166" customFormat="false" ht="16.5" hidden="false" customHeight="true" outlineLevel="0" collapsed="false">
      <c r="A166" s="11" t="s">
        <v>721</v>
      </c>
      <c r="B166" s="12" t="s">
        <v>722</v>
      </c>
      <c r="C166" s="13" t="n">
        <f aca="false">IF(A166="","",DATE(VALUE(LEFT(A166,4)),VALUE(MID(A166,5,2)),VALUE(MID(A166,7,2))))</f>
        <v>45250</v>
      </c>
      <c r="D166" s="15" t="s">
        <v>723</v>
      </c>
      <c r="E166" s="15" t="s">
        <v>724</v>
      </c>
      <c r="F166" s="12"/>
      <c r="G166" s="16" t="s">
        <v>47</v>
      </c>
      <c r="H166" s="16" t="s">
        <v>67</v>
      </c>
      <c r="I166" s="16" t="s">
        <v>53</v>
      </c>
      <c r="J166" s="16" t="s">
        <v>72</v>
      </c>
      <c r="K166" s="17" t="str">
        <f aca="false">IF(A166="","",_xlfn.TEXTJOIN(",",TRUE(),G166:J166))</f>
        <v>大人っぽい,セクシー,クール,コスプレ</v>
      </c>
      <c r="L166" s="12"/>
    </row>
    <row r="167" customFormat="false" ht="16.5" hidden="false" customHeight="true" outlineLevel="0" collapsed="false">
      <c r="A167" s="11" t="s">
        <v>725</v>
      </c>
      <c r="B167" s="12" t="s">
        <v>726</v>
      </c>
      <c r="C167" s="13" t="n">
        <f aca="false">IF(A167="","",DATE(VALUE(LEFT(A167,4)),VALUE(MID(A167,5,2)),VALUE(MID(A167,7,2))))</f>
        <v>45249</v>
      </c>
      <c r="D167" s="15" t="s">
        <v>727</v>
      </c>
      <c r="E167" s="15" t="s">
        <v>728</v>
      </c>
      <c r="F167" s="12"/>
      <c r="G167" s="16" t="s">
        <v>46</v>
      </c>
      <c r="H167" s="16" t="s">
        <v>33</v>
      </c>
      <c r="I167" s="16" t="s">
        <v>34</v>
      </c>
      <c r="J167" s="16" t="s">
        <v>47</v>
      </c>
      <c r="K167" s="17" t="str">
        <f aca="false">IF(A167="","",_xlfn.TEXTJOIN(",",TRUE(),G167:J167))</f>
        <v>きれいめ,清楚,フェミニン,大人っぽい</v>
      </c>
      <c r="L167" s="12"/>
    </row>
    <row r="168" customFormat="false" ht="16.5" hidden="false" customHeight="true" outlineLevel="0" collapsed="false">
      <c r="A168" s="11" t="s">
        <v>729</v>
      </c>
      <c r="B168" s="12" t="s">
        <v>730</v>
      </c>
      <c r="C168" s="13" t="n">
        <f aca="false">IF(A168="","",DATE(VALUE(LEFT(A168,4)),VALUE(MID(A168,5,2)),VALUE(MID(A168,7,2))))</f>
        <v>45234</v>
      </c>
      <c r="D168" s="15" t="s">
        <v>731</v>
      </c>
      <c r="E168" s="15" t="s">
        <v>732</v>
      </c>
      <c r="F168" s="12"/>
      <c r="G168" s="16" t="s">
        <v>77</v>
      </c>
      <c r="H168" s="16" t="s">
        <v>52</v>
      </c>
      <c r="I168" s="16" t="s">
        <v>35</v>
      </c>
      <c r="J168" s="16" t="s">
        <v>67</v>
      </c>
      <c r="K168" s="17" t="str">
        <f aca="false">IF(A168="","",_xlfn.TEXTJOIN(",",TRUE(),G168:J168))</f>
        <v>ナチュラル,カジュアル,ガーリー,セクシー</v>
      </c>
      <c r="L168" s="12"/>
    </row>
    <row r="169" customFormat="false" ht="16.5" hidden="false" customHeight="true" outlineLevel="0" collapsed="false">
      <c r="A169" s="11" t="s">
        <v>733</v>
      </c>
      <c r="B169" s="12" t="s">
        <v>734</v>
      </c>
      <c r="C169" s="13" t="n">
        <f aca="false">IF(A169="","",DATE(VALUE(LEFT(A169,4)),VALUE(MID(A169,5,2)),VALUE(MID(A169,7,2))))</f>
        <v>45226</v>
      </c>
      <c r="D169" s="15" t="s">
        <v>735</v>
      </c>
      <c r="E169" s="15" t="s">
        <v>736</v>
      </c>
      <c r="F169" s="12"/>
      <c r="G169" s="16" t="s">
        <v>41</v>
      </c>
      <c r="H169" s="16" t="s">
        <v>35</v>
      </c>
      <c r="I169" s="16" t="s">
        <v>54</v>
      </c>
      <c r="J169" s="16" t="s">
        <v>72</v>
      </c>
      <c r="K169" s="17" t="str">
        <f aca="false">IF(A169="","",_xlfn.TEXTJOIN(",",TRUE(),G169:J169))</f>
        <v>かわいい,ガーリー,サブカル,コスプレ</v>
      </c>
      <c r="L169" s="12"/>
    </row>
    <row r="170" customFormat="false" ht="16.5" hidden="false" customHeight="true" outlineLevel="0" collapsed="false">
      <c r="A170" s="11" t="s">
        <v>737</v>
      </c>
      <c r="B170" s="12" t="s">
        <v>738</v>
      </c>
      <c r="C170" s="13" t="n">
        <f aca="false">IF(A170="","",DATE(VALUE(LEFT(A170,4)),VALUE(MID(A170,5,2)),VALUE(MID(A170,7,2))))</f>
        <v>45226</v>
      </c>
      <c r="D170" s="15" t="s">
        <v>739</v>
      </c>
      <c r="E170" s="15" t="s">
        <v>740</v>
      </c>
      <c r="F170" s="12"/>
      <c r="G170" s="16" t="s">
        <v>41</v>
      </c>
      <c r="H170" s="16" t="s">
        <v>35</v>
      </c>
      <c r="I170" s="16" t="s">
        <v>54</v>
      </c>
      <c r="J170" s="16" t="s">
        <v>72</v>
      </c>
      <c r="K170" s="17" t="str">
        <f aca="false">IF(A170="","",_xlfn.TEXTJOIN(",",TRUE(),G170:J170))</f>
        <v>かわいい,ガーリー,サブカル,コスプレ</v>
      </c>
      <c r="L170" s="12"/>
    </row>
    <row r="171" customFormat="false" ht="16.5" hidden="false" customHeight="true" outlineLevel="0" collapsed="false">
      <c r="A171" s="11" t="s">
        <v>741</v>
      </c>
      <c r="B171" s="12" t="s">
        <v>618</v>
      </c>
      <c r="C171" s="13" t="n">
        <f aca="false">IF(A171="","",DATE(VALUE(LEFT(A171,4)),VALUE(MID(A171,5,2)),VALUE(MID(A171,7,2))))</f>
        <v>45219</v>
      </c>
      <c r="D171" s="15" t="s">
        <v>742</v>
      </c>
      <c r="E171" s="15" t="s">
        <v>743</v>
      </c>
      <c r="F171" s="12"/>
      <c r="G171" s="16" t="s">
        <v>41</v>
      </c>
      <c r="H171" s="16" t="s">
        <v>35</v>
      </c>
      <c r="I171" s="16" t="s">
        <v>88</v>
      </c>
      <c r="J171" s="16" t="s">
        <v>54</v>
      </c>
      <c r="K171" s="17" t="str">
        <f aca="false">IF(A171="","",_xlfn.TEXTJOIN(",",TRUE(),G171:J171))</f>
        <v>かわいい,ガーリー,ゴス・地雷,サブカル</v>
      </c>
      <c r="L171" s="12"/>
    </row>
    <row r="172" customFormat="false" ht="16.5" hidden="false" customHeight="true" outlineLevel="0" collapsed="false">
      <c r="A172" s="11" t="s">
        <v>744</v>
      </c>
      <c r="B172" s="12" t="s">
        <v>745</v>
      </c>
      <c r="C172" s="13" t="n">
        <f aca="false">IF(A172="","",DATE(VALUE(LEFT(A172,4)),VALUE(MID(A172,5,2)),VALUE(MID(A172,7,2))))</f>
        <v>45216</v>
      </c>
      <c r="D172" s="15" t="s">
        <v>746</v>
      </c>
      <c r="E172" s="15" t="s">
        <v>747</v>
      </c>
      <c r="F172" s="12"/>
      <c r="G172" s="16" t="s">
        <v>41</v>
      </c>
      <c r="H172" s="16" t="s">
        <v>77</v>
      </c>
      <c r="I172" s="16" t="s">
        <v>35</v>
      </c>
      <c r="J172" s="16" t="s">
        <v>52</v>
      </c>
      <c r="K172" s="17" t="str">
        <f aca="false">IF(A172="","",_xlfn.TEXTJOIN(",",TRUE(),G172:J172))</f>
        <v>かわいい,ナチュラル,ガーリー,カジュアル</v>
      </c>
      <c r="L172" s="12"/>
    </row>
    <row r="173" customFormat="false" ht="16.5" hidden="false" customHeight="true" outlineLevel="0" collapsed="false">
      <c r="A173" s="11" t="s">
        <v>748</v>
      </c>
      <c r="B173" s="12" t="s">
        <v>749</v>
      </c>
      <c r="C173" s="13" t="n">
        <f aca="false">IF(A173="","",DATE(VALUE(LEFT(A173,4)),VALUE(MID(A173,5,2)),VALUE(MID(A173,7,2))))</f>
        <v>45215</v>
      </c>
      <c r="D173" s="15" t="s">
        <v>750</v>
      </c>
      <c r="E173" s="15" t="s">
        <v>751</v>
      </c>
      <c r="F173" s="12"/>
      <c r="G173" s="16" t="s">
        <v>41</v>
      </c>
      <c r="H173" s="16" t="s">
        <v>77</v>
      </c>
      <c r="I173" s="16" t="s">
        <v>34</v>
      </c>
      <c r="J173" s="16" t="s">
        <v>35</v>
      </c>
      <c r="K173" s="17" t="str">
        <f aca="false">IF(A173="","",_xlfn.TEXTJOIN(",",TRUE(),G173:J173))</f>
        <v>かわいい,ナチュラル,フェミニン,ガーリー</v>
      </c>
      <c r="L173" s="12"/>
    </row>
    <row r="174" customFormat="false" ht="16.5" hidden="false" customHeight="true" outlineLevel="0" collapsed="false">
      <c r="A174" s="11" t="s">
        <v>752</v>
      </c>
      <c r="B174" s="12" t="s">
        <v>753</v>
      </c>
      <c r="C174" s="13" t="n">
        <f aca="false">IF(A174="","",DATE(VALUE(LEFT(A174,4)),VALUE(MID(A174,5,2)),VALUE(MID(A174,7,2))))</f>
        <v>45214</v>
      </c>
      <c r="D174" s="15" t="s">
        <v>754</v>
      </c>
      <c r="E174" s="15" t="s">
        <v>755</v>
      </c>
      <c r="F174" s="12"/>
      <c r="G174" s="16" t="s">
        <v>53</v>
      </c>
      <c r="H174" s="16" t="s">
        <v>150</v>
      </c>
      <c r="I174" s="16" t="s">
        <v>88</v>
      </c>
      <c r="J174" s="16" t="s">
        <v>54</v>
      </c>
      <c r="K174" s="17" t="str">
        <f aca="false">IF(A174="","",_xlfn.TEXTJOIN(",",TRUE(),G174:J174))</f>
        <v>クール,ロリータ,ゴス・地雷,サブカル</v>
      </c>
      <c r="L174" s="12"/>
    </row>
    <row r="175" customFormat="false" ht="16.5" hidden="false" customHeight="true" outlineLevel="0" collapsed="false">
      <c r="A175" s="11" t="s">
        <v>756</v>
      </c>
      <c r="B175" s="12" t="s">
        <v>757</v>
      </c>
      <c r="C175" s="13" t="n">
        <f aca="false">IF(A175="","",DATE(VALUE(LEFT(A175,4)),VALUE(MID(A175,5,2)),VALUE(MID(A175,7,2))))</f>
        <v>45214</v>
      </c>
      <c r="D175" s="15" t="s">
        <v>758</v>
      </c>
      <c r="E175" s="15" t="s">
        <v>759</v>
      </c>
      <c r="F175" s="12"/>
      <c r="G175" s="16" t="s">
        <v>41</v>
      </c>
      <c r="H175" s="16" t="s">
        <v>77</v>
      </c>
      <c r="I175" s="16" t="s">
        <v>52</v>
      </c>
      <c r="J175" s="16" t="s">
        <v>35</v>
      </c>
      <c r="K175" s="17" t="str">
        <f aca="false">IF(A175="","",_xlfn.TEXTJOIN(",",TRUE(),G175:J175))</f>
        <v>かわいい,ナチュラル,カジュアル,ガーリー</v>
      </c>
      <c r="L175" s="12"/>
    </row>
    <row r="176" customFormat="false" ht="16.5" hidden="false" customHeight="true" outlineLevel="0" collapsed="false">
      <c r="A176" s="11" t="s">
        <v>760</v>
      </c>
      <c r="B176" s="12" t="s">
        <v>761</v>
      </c>
      <c r="C176" s="13" t="n">
        <f aca="false">IF(A176="","",DATE(VALUE(LEFT(A176,4)),VALUE(MID(A176,5,2)),VALUE(MID(A176,7,2))))</f>
        <v>45206</v>
      </c>
      <c r="D176" s="15" t="s">
        <v>762</v>
      </c>
      <c r="E176" s="15" t="s">
        <v>763</v>
      </c>
      <c r="F176" s="12"/>
      <c r="G176" s="16" t="s">
        <v>46</v>
      </c>
      <c r="H176" s="16" t="s">
        <v>47</v>
      </c>
      <c r="I176" s="16" t="s">
        <v>53</v>
      </c>
      <c r="J176" s="16" t="s">
        <v>67</v>
      </c>
      <c r="K176" s="17" t="str">
        <f aca="false">IF(A176="","",_xlfn.TEXTJOIN(",",TRUE(),G176:J176))</f>
        <v>きれいめ,大人っぽい,クール,セクシー</v>
      </c>
      <c r="L176" s="12"/>
    </row>
    <row r="177" customFormat="false" ht="16.5" hidden="false" customHeight="true" outlineLevel="0" collapsed="false">
      <c r="A177" s="11" t="s">
        <v>764</v>
      </c>
      <c r="B177" s="12" t="s">
        <v>765</v>
      </c>
      <c r="C177" s="13" t="n">
        <f aca="false">IF(A177="","",DATE(VALUE(LEFT(A177,4)),VALUE(MID(A177,5,2)),VALUE(MID(A177,7,2))))</f>
        <v>45186</v>
      </c>
      <c r="D177" s="15" t="s">
        <v>766</v>
      </c>
      <c r="E177" s="15" t="s">
        <v>767</v>
      </c>
      <c r="F177" s="12"/>
      <c r="G177" s="16" t="s">
        <v>47</v>
      </c>
      <c r="H177" s="16" t="s">
        <v>67</v>
      </c>
      <c r="I177" s="16" t="s">
        <v>53</v>
      </c>
      <c r="J177" s="16" t="s">
        <v>77</v>
      </c>
      <c r="K177" s="17" t="str">
        <f aca="false">IF(A177="","",_xlfn.TEXTJOIN(",",TRUE(),G177:J177))</f>
        <v>大人っぽい,セクシー,クール,ナチュラル</v>
      </c>
      <c r="L177" s="12"/>
    </row>
    <row r="178" customFormat="false" ht="16.5" hidden="false" customHeight="true" outlineLevel="0" collapsed="false">
      <c r="A178" s="11" t="s">
        <v>768</v>
      </c>
      <c r="B178" s="12" t="s">
        <v>769</v>
      </c>
      <c r="C178" s="13" t="n">
        <f aca="false">IF(A178="","",DATE(VALUE(LEFT(A178,4)),VALUE(MID(A178,5,2)),VALUE(MID(A178,7,2))))</f>
        <v>45156</v>
      </c>
      <c r="D178" s="15" t="s">
        <v>770</v>
      </c>
      <c r="E178" s="15" t="s">
        <v>771</v>
      </c>
      <c r="F178" s="12"/>
      <c r="G178" s="16" t="s">
        <v>77</v>
      </c>
      <c r="H178" s="16" t="s">
        <v>52</v>
      </c>
      <c r="I178" s="16" t="s">
        <v>78</v>
      </c>
      <c r="J178" s="16" t="s">
        <v>53</v>
      </c>
      <c r="K178" s="17" t="str">
        <f aca="false">IF(A178="","",_xlfn.TEXTJOIN(",",TRUE(),G178:J178))</f>
        <v>ナチュラル,カジュアル,モード,クール</v>
      </c>
      <c r="L178" s="12"/>
    </row>
    <row r="179" customFormat="false" ht="16.5" hidden="false" customHeight="true" outlineLevel="0" collapsed="false">
      <c r="A179" s="11" t="s">
        <v>772</v>
      </c>
      <c r="B179" s="12" t="s">
        <v>773</v>
      </c>
      <c r="C179" s="13" t="n">
        <f aca="false">IF(A179="","",DATE(VALUE(LEFT(A179,4)),VALUE(MID(A179,5,2)),VALUE(MID(A179,7,2))))</f>
        <v>45086</v>
      </c>
      <c r="D179" s="15" t="s">
        <v>774</v>
      </c>
      <c r="E179" s="15" t="s">
        <v>775</v>
      </c>
      <c r="F179" s="12"/>
      <c r="G179" s="16" t="s">
        <v>41</v>
      </c>
      <c r="H179" s="16" t="s">
        <v>35</v>
      </c>
      <c r="I179" s="16" t="s">
        <v>168</v>
      </c>
      <c r="J179" s="16" t="s">
        <v>34</v>
      </c>
      <c r="K179" s="17" t="str">
        <f aca="false">IF(A179="","",_xlfn.TEXTJOIN(",",TRUE(),G179:J179))</f>
        <v>かわいい,ガーリー,韓国風,フェミニン</v>
      </c>
      <c r="L179" s="12"/>
    </row>
    <row r="180" customFormat="false" ht="16.5" hidden="false" customHeight="true" outlineLevel="0" collapsed="false">
      <c r="A180" s="11" t="s">
        <v>776</v>
      </c>
      <c r="B180" s="12" t="s">
        <v>777</v>
      </c>
      <c r="C180" s="13" t="n">
        <f aca="false">IF(A180="","",DATE(VALUE(LEFT(A180,4)),VALUE(MID(A180,5,2)),VALUE(MID(A180,7,2))))</f>
        <v>45082</v>
      </c>
      <c r="D180" s="15" t="s">
        <v>778</v>
      </c>
      <c r="E180" s="15" t="s">
        <v>779</v>
      </c>
      <c r="F180" s="12"/>
      <c r="G180" s="16" t="s">
        <v>41</v>
      </c>
      <c r="H180" s="16" t="s">
        <v>77</v>
      </c>
      <c r="I180" s="16" t="s">
        <v>52</v>
      </c>
      <c r="J180" s="16" t="s">
        <v>72</v>
      </c>
      <c r="K180" s="17" t="str">
        <f aca="false">IF(A180="","",_xlfn.TEXTJOIN(",",TRUE(),G180:J180))</f>
        <v>かわいい,ナチュラル,カジュアル,コスプレ</v>
      </c>
      <c r="L180" s="12"/>
    </row>
    <row r="181" customFormat="false" ht="16.5" hidden="false" customHeight="true" outlineLevel="0" collapsed="false">
      <c r="A181" s="11" t="s">
        <v>780</v>
      </c>
      <c r="B181" s="12" t="s">
        <v>781</v>
      </c>
      <c r="C181" s="13" t="n">
        <f aca="false">IF(A181="","",DATE(VALUE(LEFT(A181,4)),VALUE(MID(A181,5,2)),VALUE(MID(A181,7,2))))</f>
        <v>45082</v>
      </c>
      <c r="D181" s="15" t="s">
        <v>782</v>
      </c>
      <c r="E181" s="15" t="s">
        <v>783</v>
      </c>
      <c r="F181" s="12"/>
      <c r="G181" s="16" t="s">
        <v>46</v>
      </c>
      <c r="H181" s="16" t="s">
        <v>47</v>
      </c>
      <c r="I181" s="16" t="s">
        <v>67</v>
      </c>
      <c r="J181" s="16" t="s">
        <v>53</v>
      </c>
      <c r="K181" s="17" t="str">
        <f aca="false">IF(A181="","",_xlfn.TEXTJOIN(",",TRUE(),G181:J181))</f>
        <v>きれいめ,大人っぽい,セクシー,クール</v>
      </c>
      <c r="L181" s="12"/>
    </row>
    <row r="182" customFormat="false" ht="16.5" hidden="false" customHeight="true" outlineLevel="0" collapsed="false">
      <c r="A182" s="11" t="s">
        <v>784</v>
      </c>
      <c r="B182" s="12" t="s">
        <v>785</v>
      </c>
      <c r="C182" s="13" t="n">
        <f aca="false">IF(A182="","",DATE(VALUE(LEFT(A182,4)),VALUE(MID(A182,5,2)),VALUE(MID(A182,7,2))))</f>
        <v>45078</v>
      </c>
      <c r="D182" s="15" t="s">
        <v>786</v>
      </c>
      <c r="E182" s="15" t="s">
        <v>787</v>
      </c>
      <c r="F182" s="12"/>
      <c r="G182" s="16" t="s">
        <v>78</v>
      </c>
      <c r="H182" s="16" t="s">
        <v>47</v>
      </c>
      <c r="I182" s="16" t="s">
        <v>67</v>
      </c>
      <c r="J182" s="16" t="s">
        <v>145</v>
      </c>
      <c r="K182" s="17" t="str">
        <f aca="false">IF(A182="","",_xlfn.TEXTJOIN(",",TRUE(),G182:J182))</f>
        <v>モード,大人っぽい,セクシー,ギャル</v>
      </c>
      <c r="L182" s="12"/>
    </row>
    <row r="183" customFormat="false" ht="16.5" hidden="false" customHeight="true" outlineLevel="0" collapsed="false">
      <c r="A183" s="11" t="s">
        <v>788</v>
      </c>
      <c r="B183" s="12" t="s">
        <v>789</v>
      </c>
      <c r="C183" s="13" t="n">
        <f aca="false">IF(A183="","",DATE(VALUE(LEFT(A183,4)),VALUE(MID(A183,5,2)),VALUE(MID(A183,7,2))))</f>
        <v>45058</v>
      </c>
      <c r="D183" s="15" t="s">
        <v>790</v>
      </c>
      <c r="E183" s="15" t="s">
        <v>791</v>
      </c>
      <c r="F183" s="12"/>
      <c r="G183" s="16" t="s">
        <v>41</v>
      </c>
      <c r="H183" s="16" t="s">
        <v>34</v>
      </c>
      <c r="I183" s="16" t="s">
        <v>35</v>
      </c>
      <c r="J183" s="16" t="s">
        <v>33</v>
      </c>
      <c r="K183" s="17" t="str">
        <f aca="false">IF(A183="","",_xlfn.TEXTJOIN(",",TRUE(),G183:J183))</f>
        <v>かわいい,フェミニン,ガーリー,清楚</v>
      </c>
      <c r="L183" s="12"/>
    </row>
    <row r="184" customFormat="false" ht="16.5" hidden="false" customHeight="true" outlineLevel="0" collapsed="false">
      <c r="A184" s="11" t="s">
        <v>792</v>
      </c>
      <c r="B184" s="12" t="s">
        <v>793</v>
      </c>
      <c r="C184" s="13" t="n">
        <f aca="false">IF(A184="","",DATE(VALUE(LEFT(A184,4)),VALUE(MID(A184,5,2)),VALUE(MID(A184,7,2))))</f>
        <v>45058</v>
      </c>
      <c r="D184" s="15" t="s">
        <v>794</v>
      </c>
      <c r="E184" s="15" t="s">
        <v>795</v>
      </c>
      <c r="F184" s="12"/>
      <c r="G184" s="16" t="s">
        <v>53</v>
      </c>
      <c r="H184" s="16" t="s">
        <v>77</v>
      </c>
      <c r="I184" s="16" t="s">
        <v>72</v>
      </c>
      <c r="J184" s="16" t="s">
        <v>54</v>
      </c>
      <c r="K184" s="17" t="str">
        <f aca="false">IF(A184="","",_xlfn.TEXTJOIN(",",TRUE(),G184:J184))</f>
        <v>クール,ナチュラル,コスプレ,サブカル</v>
      </c>
      <c r="L184" s="12"/>
    </row>
    <row r="185" customFormat="false" ht="16.5" hidden="false" customHeight="true" outlineLevel="0" collapsed="false">
      <c r="A185" s="11" t="s">
        <v>796</v>
      </c>
      <c r="B185" s="12" t="s">
        <v>797</v>
      </c>
      <c r="C185" s="13" t="n">
        <f aca="false">IF(A185="","",DATE(VALUE(LEFT(A185,4)),VALUE(MID(A185,5,2)),VALUE(MID(A185,7,2))))</f>
        <v>45058</v>
      </c>
      <c r="D185" s="15" t="s">
        <v>798</v>
      </c>
      <c r="E185" s="15" t="s">
        <v>799</v>
      </c>
      <c r="F185" s="12"/>
      <c r="G185" s="16" t="s">
        <v>53</v>
      </c>
      <c r="H185" s="16" t="s">
        <v>52</v>
      </c>
      <c r="I185" s="16" t="s">
        <v>78</v>
      </c>
      <c r="J185" s="16" t="s">
        <v>54</v>
      </c>
      <c r="K185" s="17" t="str">
        <f aca="false">IF(A185="","",_xlfn.TEXTJOIN(",",TRUE(),G185:J185))</f>
        <v>クール,カジュアル,モード,サブカル</v>
      </c>
      <c r="L185" s="12"/>
    </row>
    <row r="186" customFormat="false" ht="16.5" hidden="false" customHeight="true" outlineLevel="0" collapsed="false">
      <c r="A186" s="11" t="s">
        <v>800</v>
      </c>
      <c r="B186" s="15" t="s">
        <v>801</v>
      </c>
      <c r="C186" s="13" t="n">
        <f aca="false">IF(A186="","",DATE(VALUE(LEFT(A186,4)),VALUE(MID(A186,5,2)),VALUE(MID(A186,7,2))))</f>
        <v>45030</v>
      </c>
      <c r="D186" s="15" t="s">
        <v>802</v>
      </c>
      <c r="E186" s="15" t="s">
        <v>803</v>
      </c>
      <c r="F186" s="12"/>
      <c r="G186" s="16" t="s">
        <v>41</v>
      </c>
      <c r="H186" s="16" t="s">
        <v>35</v>
      </c>
      <c r="I186" s="16" t="s">
        <v>33</v>
      </c>
      <c r="J186" s="16" t="s">
        <v>77</v>
      </c>
      <c r="K186" s="17" t="str">
        <f aca="false">IF(A186="","",_xlfn.TEXTJOIN(",",TRUE(),G186:J186))</f>
        <v>かわいい,ガーリー,清楚,ナチュラル</v>
      </c>
      <c r="L186" s="12"/>
    </row>
    <row r="187" customFormat="false" ht="16.5" hidden="false" customHeight="true" outlineLevel="0" collapsed="false">
      <c r="A187" s="11" t="s">
        <v>804</v>
      </c>
      <c r="B187" s="12" t="s">
        <v>805</v>
      </c>
      <c r="C187" s="13" t="n">
        <f aca="false">IF(A187="","",DATE(VALUE(LEFT(A187,4)),VALUE(MID(A187,5,2)),VALUE(MID(A187,7,2))))</f>
        <v>45002</v>
      </c>
      <c r="D187" s="15" t="s">
        <v>806</v>
      </c>
      <c r="E187" s="15" t="s">
        <v>807</v>
      </c>
      <c r="F187" s="12"/>
      <c r="G187" s="16" t="s">
        <v>52</v>
      </c>
      <c r="H187" s="16" t="s">
        <v>46</v>
      </c>
      <c r="I187" s="16" t="s">
        <v>67</v>
      </c>
      <c r="J187" s="16" t="s">
        <v>145</v>
      </c>
      <c r="K187" s="17" t="str">
        <f aca="false">IF(A187="","",_xlfn.TEXTJOIN(",",TRUE(),G187:J187))</f>
        <v>カジュアル,きれいめ,セクシー,ギャル</v>
      </c>
      <c r="L187" s="12"/>
    </row>
    <row r="188" customFormat="false" ht="16.5" hidden="false" customHeight="true" outlineLevel="0" collapsed="false">
      <c r="A188" s="11" t="s">
        <v>808</v>
      </c>
      <c r="B188" s="12" t="s">
        <v>809</v>
      </c>
      <c r="C188" s="13" t="n">
        <f aca="false">IF(A188="","",DATE(VALUE(LEFT(A188,4)),VALUE(MID(A188,5,2)),VALUE(MID(A188,7,2))))</f>
        <v>44975</v>
      </c>
      <c r="D188" s="15" t="s">
        <v>810</v>
      </c>
      <c r="E188" s="15" t="s">
        <v>811</v>
      </c>
      <c r="F188" s="12"/>
      <c r="G188" s="16" t="s">
        <v>41</v>
      </c>
      <c r="H188" s="16" t="s">
        <v>53</v>
      </c>
      <c r="I188" s="16" t="s">
        <v>77</v>
      </c>
      <c r="J188" s="16" t="s">
        <v>168</v>
      </c>
      <c r="K188" s="17" t="str">
        <f aca="false">IF(A188="","",_xlfn.TEXTJOIN(",",TRUE(),G188:J188))</f>
        <v>かわいい,クール,ナチュラル,韓国風</v>
      </c>
      <c r="L188" s="12"/>
    </row>
    <row r="189" customFormat="false" ht="16.5" hidden="false" customHeight="true" outlineLevel="0" collapsed="false">
      <c r="A189" s="11" t="s">
        <v>812</v>
      </c>
      <c r="B189" s="12" t="s">
        <v>813</v>
      </c>
      <c r="C189" s="13" t="n">
        <f aca="false">IF(A189="","",DATE(VALUE(LEFT(A189,4)),VALUE(MID(A189,5,2)),VALUE(MID(A189,7,2))))</f>
        <v>44975</v>
      </c>
      <c r="D189" s="15" t="s">
        <v>814</v>
      </c>
      <c r="E189" s="15" t="s">
        <v>815</v>
      </c>
      <c r="F189" s="12"/>
      <c r="G189" s="16" t="s">
        <v>33</v>
      </c>
      <c r="H189" s="16" t="s">
        <v>54</v>
      </c>
      <c r="I189" s="16" t="s">
        <v>53</v>
      </c>
      <c r="J189" s="16" t="s">
        <v>52</v>
      </c>
      <c r="K189" s="17" t="str">
        <f aca="false">IF(A189="","",_xlfn.TEXTJOIN(",",TRUE(),G189:J189))</f>
        <v>清楚,サブカル,クール,カジュアル</v>
      </c>
      <c r="L189" s="12"/>
    </row>
    <row r="190" customFormat="false" ht="16.5" hidden="false" customHeight="true" outlineLevel="0" collapsed="false">
      <c r="A190" s="11" t="s">
        <v>816</v>
      </c>
      <c r="B190" s="12" t="s">
        <v>817</v>
      </c>
      <c r="C190" s="13" t="n">
        <f aca="false">IF(A190="","",DATE(VALUE(LEFT(A190,4)),VALUE(MID(A190,5,2)),VALUE(MID(A190,7,2))))</f>
        <v>44973</v>
      </c>
      <c r="D190" s="15" t="s">
        <v>818</v>
      </c>
      <c r="E190" s="15" t="s">
        <v>819</v>
      </c>
      <c r="F190" s="12"/>
      <c r="G190" s="16" t="s">
        <v>46</v>
      </c>
      <c r="H190" s="16" t="s">
        <v>67</v>
      </c>
      <c r="I190" s="16" t="s">
        <v>53</v>
      </c>
      <c r="J190" s="16" t="s">
        <v>145</v>
      </c>
      <c r="K190" s="17" t="str">
        <f aca="false">IF(A190="","",_xlfn.TEXTJOIN(",",TRUE(),G190:J190))</f>
        <v>きれいめ,セクシー,クール,ギャル</v>
      </c>
      <c r="L190" s="12"/>
    </row>
    <row r="191" customFormat="false" ht="16.5" hidden="false" customHeight="true" outlineLevel="0" collapsed="false">
      <c r="A191" s="11" t="s">
        <v>820</v>
      </c>
      <c r="B191" s="12" t="s">
        <v>821</v>
      </c>
      <c r="C191" s="13" t="n">
        <f aca="false">IF(A191="","",DATE(VALUE(LEFT(A191,4)),VALUE(MID(A191,5,2)),VALUE(MID(A191,7,2))))</f>
        <v>44940</v>
      </c>
      <c r="D191" s="15" t="s">
        <v>822</v>
      </c>
      <c r="E191" s="15" t="s">
        <v>823</v>
      </c>
      <c r="F191" s="12"/>
      <c r="G191" s="16" t="s">
        <v>88</v>
      </c>
      <c r="H191" s="16" t="s">
        <v>54</v>
      </c>
      <c r="I191" s="16" t="s">
        <v>41</v>
      </c>
      <c r="J191" s="16" t="s">
        <v>35</v>
      </c>
      <c r="K191" s="17" t="str">
        <f aca="false">IF(A191="","",_xlfn.TEXTJOIN(",",TRUE(),G191:J191))</f>
        <v>ゴス・地雷,サブカル,かわいい,ガーリー</v>
      </c>
      <c r="L191" s="12"/>
    </row>
    <row r="192" customFormat="false" ht="16.5" hidden="false" customHeight="true" outlineLevel="0" collapsed="false">
      <c r="A192" s="11" t="s">
        <v>824</v>
      </c>
      <c r="B192" s="12" t="s">
        <v>825</v>
      </c>
      <c r="C192" s="13" t="n">
        <f aca="false">IF(A192="","",DATE(VALUE(LEFT(A192,4)),VALUE(MID(A192,5,2)),VALUE(MID(A192,7,2))))</f>
        <v>44940</v>
      </c>
      <c r="D192" s="15" t="s">
        <v>826</v>
      </c>
      <c r="E192" s="15" t="s">
        <v>827</v>
      </c>
      <c r="F192" s="12"/>
      <c r="G192" s="16" t="s">
        <v>41</v>
      </c>
      <c r="H192" s="16" t="s">
        <v>77</v>
      </c>
      <c r="I192" s="16" t="s">
        <v>35</v>
      </c>
      <c r="J192" s="16" t="s">
        <v>52</v>
      </c>
      <c r="K192" s="17" t="str">
        <f aca="false">IF(A192="","",_xlfn.TEXTJOIN(",",TRUE(),G192:J192))</f>
        <v>かわいい,ナチュラル,ガーリー,カジュアル</v>
      </c>
      <c r="L192" s="12"/>
    </row>
    <row r="193" customFormat="false" ht="16.5" hidden="false" customHeight="true" outlineLevel="0" collapsed="false">
      <c r="A193" s="11" t="s">
        <v>828</v>
      </c>
      <c r="B193" s="12" t="s">
        <v>829</v>
      </c>
      <c r="C193" s="13" t="n">
        <f aca="false">IF(A193="","",DATE(VALUE(LEFT(A193,4)),VALUE(MID(A193,5,2)),VALUE(MID(A193,7,2))))</f>
        <v>44940</v>
      </c>
      <c r="D193" s="15" t="s">
        <v>830</v>
      </c>
      <c r="E193" s="15" t="s">
        <v>831</v>
      </c>
      <c r="F193" s="12"/>
      <c r="G193" s="16" t="s">
        <v>35</v>
      </c>
      <c r="H193" s="16" t="s">
        <v>77</v>
      </c>
      <c r="I193" s="16" t="s">
        <v>54</v>
      </c>
      <c r="J193" s="16" t="s">
        <v>72</v>
      </c>
      <c r="K193" s="17" t="str">
        <f aca="false">IF(A193="","",_xlfn.TEXTJOIN(",",TRUE(),G193:J193))</f>
        <v>ガーリー,ナチュラル,サブカル,コスプレ</v>
      </c>
      <c r="L193" s="12"/>
    </row>
    <row r="194" customFormat="false" ht="16.5" hidden="false" customHeight="true" outlineLevel="0" collapsed="false">
      <c r="A194" s="11" t="s">
        <v>832</v>
      </c>
      <c r="B194" s="12" t="s">
        <v>833</v>
      </c>
      <c r="C194" s="13" t="n">
        <f aca="false">IF(A194="","",DATE(VALUE(LEFT(A194,4)),VALUE(MID(A194,5,2)),VALUE(MID(A194,7,2))))</f>
        <v>44939</v>
      </c>
      <c r="D194" s="15" t="s">
        <v>834</v>
      </c>
      <c r="E194" s="15" t="s">
        <v>835</v>
      </c>
      <c r="F194" s="12"/>
      <c r="G194" s="16" t="s">
        <v>54</v>
      </c>
      <c r="H194" s="16" t="s">
        <v>72</v>
      </c>
      <c r="I194" s="16" t="s">
        <v>33</v>
      </c>
      <c r="J194" s="16" t="s">
        <v>35</v>
      </c>
      <c r="K194" s="17" t="str">
        <f aca="false">IF(A194="","",_xlfn.TEXTJOIN(",",TRUE(),G194:J194))</f>
        <v>サブカル,コスプレ,清楚,ガーリー</v>
      </c>
      <c r="L194" s="12"/>
    </row>
    <row r="195" customFormat="false" ht="16.5" hidden="false" customHeight="true" outlineLevel="0" collapsed="false">
      <c r="A195" s="11" t="s">
        <v>836</v>
      </c>
      <c r="B195" s="15" t="s">
        <v>837</v>
      </c>
      <c r="C195" s="13" t="n">
        <f aca="false">IF(A195="","",DATE(VALUE(LEFT(A195,4)),VALUE(MID(A195,5,2)),VALUE(MID(A195,7,2))))</f>
        <v>44933</v>
      </c>
      <c r="D195" s="15" t="s">
        <v>838</v>
      </c>
      <c r="E195" s="15" t="s">
        <v>839</v>
      </c>
      <c r="F195" s="12"/>
      <c r="G195" s="16" t="s">
        <v>67</v>
      </c>
      <c r="H195" s="16" t="s">
        <v>53</v>
      </c>
      <c r="I195" s="16" t="s">
        <v>145</v>
      </c>
      <c r="J195" s="16" t="s">
        <v>72</v>
      </c>
      <c r="K195" s="17" t="str">
        <f aca="false">IF(A195="","",_xlfn.TEXTJOIN(",",TRUE(),G195:J195))</f>
        <v>セクシー,クール,ギャル,コスプレ</v>
      </c>
      <c r="L195" s="12"/>
    </row>
    <row r="196" customFormat="false" ht="16.5" hidden="false" customHeight="true" outlineLevel="0" collapsed="false">
      <c r="A196" s="11" t="s">
        <v>840</v>
      </c>
      <c r="B196" s="12" t="s">
        <v>841</v>
      </c>
      <c r="C196" s="13" t="n">
        <f aca="false">IF(A196="","",DATE(VALUE(LEFT(A196,4)),VALUE(MID(A196,5,2)),VALUE(MID(A196,7,2))))</f>
        <v>44931</v>
      </c>
      <c r="D196" s="15" t="s">
        <v>842</v>
      </c>
      <c r="E196" s="15" t="s">
        <v>843</v>
      </c>
      <c r="F196" s="12"/>
      <c r="G196" s="16" t="s">
        <v>41</v>
      </c>
      <c r="H196" s="16" t="s">
        <v>77</v>
      </c>
      <c r="I196" s="16" t="s">
        <v>54</v>
      </c>
      <c r="J196" s="16" t="s">
        <v>52</v>
      </c>
      <c r="K196" s="17" t="str">
        <f aca="false">IF(A196="","",_xlfn.TEXTJOIN(",",TRUE(),G196:J196))</f>
        <v>かわいい,ナチュラル,サブカル,カジュアル</v>
      </c>
      <c r="L196" s="12"/>
    </row>
    <row r="197" customFormat="false" ht="16.5" hidden="false" customHeight="true" outlineLevel="0" collapsed="false">
      <c r="A197" s="11" t="s">
        <v>844</v>
      </c>
      <c r="B197" s="12" t="s">
        <v>845</v>
      </c>
      <c r="C197" s="13" t="n">
        <f aca="false">IF(A197="","",DATE(VALUE(LEFT(A197,4)),VALUE(MID(A197,5,2)),VALUE(MID(A197,7,2))))</f>
        <v>44931</v>
      </c>
      <c r="D197" s="15" t="s">
        <v>846</v>
      </c>
      <c r="E197" s="15" t="s">
        <v>847</v>
      </c>
      <c r="F197" s="12"/>
      <c r="G197" s="16" t="s">
        <v>54</v>
      </c>
      <c r="H197" s="16" t="s">
        <v>78</v>
      </c>
      <c r="I197" s="16" t="s">
        <v>52</v>
      </c>
      <c r="J197" s="16" t="s">
        <v>77</v>
      </c>
      <c r="K197" s="17" t="str">
        <f aca="false">IF(A197="","",_xlfn.TEXTJOIN(",",TRUE(),G197:J197))</f>
        <v>サブカル,モード,カジュアル,ナチュラル</v>
      </c>
      <c r="L197" s="12"/>
    </row>
    <row r="198" customFormat="false" ht="16.5" hidden="false" customHeight="true" outlineLevel="0" collapsed="false">
      <c r="A198" s="11" t="s">
        <v>848</v>
      </c>
      <c r="B198" s="15" t="s">
        <v>849</v>
      </c>
      <c r="C198" s="13" t="n">
        <f aca="false">IF(A198="","",DATE(VALUE(LEFT(A198,4)),VALUE(MID(A198,5,2)),VALUE(MID(A198,7,2))))</f>
        <v>44904</v>
      </c>
      <c r="D198" s="15" t="s">
        <v>850</v>
      </c>
      <c r="E198" s="15" t="s">
        <v>851</v>
      </c>
      <c r="F198" s="12"/>
      <c r="G198" s="16" t="s">
        <v>46</v>
      </c>
      <c r="H198" s="16" t="s">
        <v>47</v>
      </c>
      <c r="I198" s="16" t="s">
        <v>67</v>
      </c>
      <c r="J198" s="16" t="s">
        <v>34</v>
      </c>
      <c r="K198" s="17" t="str">
        <f aca="false">IF(A198="","",_xlfn.TEXTJOIN(",",TRUE(),G198:J198))</f>
        <v>きれいめ,大人っぽい,セクシー,フェミニン</v>
      </c>
      <c r="L198" s="12"/>
    </row>
    <row r="199" customFormat="false" ht="16.5" hidden="false" customHeight="true" outlineLevel="0" collapsed="false">
      <c r="A199" s="11" t="s">
        <v>852</v>
      </c>
      <c r="B199" s="12" t="s">
        <v>343</v>
      </c>
      <c r="C199" s="13" t="n">
        <f aca="false">IF(A199="","",DATE(VALUE(LEFT(A199,4)),VALUE(MID(A199,5,2)),VALUE(MID(A199,7,2))))</f>
        <v>44901</v>
      </c>
      <c r="D199" s="15" t="s">
        <v>853</v>
      </c>
      <c r="E199" s="15" t="s">
        <v>854</v>
      </c>
      <c r="F199" s="12"/>
      <c r="G199" s="16" t="s">
        <v>46</v>
      </c>
      <c r="H199" s="16" t="s">
        <v>47</v>
      </c>
      <c r="I199" s="16" t="s">
        <v>53</v>
      </c>
      <c r="J199" s="16" t="s">
        <v>145</v>
      </c>
      <c r="K199" s="17" t="str">
        <f aca="false">IF(A199="","",_xlfn.TEXTJOIN(",",TRUE(),G199:J199))</f>
        <v>きれいめ,大人っぽい,クール,ギャル</v>
      </c>
      <c r="L199" s="12"/>
    </row>
    <row r="200" customFormat="false" ht="16.5" hidden="false" customHeight="true" outlineLevel="0" collapsed="false">
      <c r="A200" s="11" t="s">
        <v>855</v>
      </c>
      <c r="B200" s="15" t="s">
        <v>856</v>
      </c>
      <c r="C200" s="13" t="n">
        <f aca="false">IF(A200="","",DATE(VALUE(LEFT(A200,4)),VALUE(MID(A200,5,2)),VALUE(MID(A200,7,2))))</f>
        <v>44888</v>
      </c>
      <c r="D200" s="15" t="s">
        <v>857</v>
      </c>
      <c r="E200" s="15" t="s">
        <v>858</v>
      </c>
      <c r="F200" s="12"/>
      <c r="G200" s="16" t="s">
        <v>46</v>
      </c>
      <c r="H200" s="16" t="s">
        <v>67</v>
      </c>
      <c r="I200" s="16" t="s">
        <v>34</v>
      </c>
      <c r="J200" s="16" t="s">
        <v>145</v>
      </c>
      <c r="K200" s="17" t="str">
        <f aca="false">IF(A200="","",_xlfn.TEXTJOIN(",",TRUE(),G200:J200))</f>
        <v>きれいめ,セクシー,フェミニン,ギャル</v>
      </c>
      <c r="L200" s="12"/>
    </row>
    <row r="201" customFormat="false" ht="16.5" hidden="false" customHeight="true" outlineLevel="0" collapsed="false">
      <c r="A201" s="11" t="s">
        <v>859</v>
      </c>
      <c r="B201" s="12" t="s">
        <v>860</v>
      </c>
      <c r="C201" s="13" t="n">
        <f aca="false">IF(A201="","",DATE(VALUE(LEFT(A201,4)),VALUE(MID(A201,5,2)),VALUE(MID(A201,7,2))))</f>
        <v>44881</v>
      </c>
      <c r="D201" s="15" t="s">
        <v>861</v>
      </c>
      <c r="E201" s="15" t="s">
        <v>862</v>
      </c>
      <c r="F201" s="12"/>
      <c r="G201" s="16" t="s">
        <v>47</v>
      </c>
      <c r="H201" s="16" t="s">
        <v>67</v>
      </c>
      <c r="I201" s="16" t="s">
        <v>34</v>
      </c>
      <c r="J201" s="16" t="s">
        <v>53</v>
      </c>
      <c r="K201" s="17" t="str">
        <f aca="false">IF(A201="","",_xlfn.TEXTJOIN(",",TRUE(),G201:J201))</f>
        <v>大人っぽい,セクシー,フェミニン,クール</v>
      </c>
      <c r="L201" s="12"/>
    </row>
    <row r="202" customFormat="false" ht="16.5" hidden="false" customHeight="true" outlineLevel="0" collapsed="false">
      <c r="A202" s="11" t="s">
        <v>863</v>
      </c>
      <c r="B202" s="12" t="s">
        <v>864</v>
      </c>
      <c r="C202" s="13" t="n">
        <f aca="false">IF(A202="","",DATE(VALUE(LEFT(A202,4)),VALUE(MID(A202,5,2)),VALUE(MID(A202,7,2))))</f>
        <v>44876</v>
      </c>
      <c r="D202" s="15" t="s">
        <v>865</v>
      </c>
      <c r="E202" s="15" t="s">
        <v>866</v>
      </c>
      <c r="F202" s="12"/>
      <c r="G202" s="16" t="s">
        <v>41</v>
      </c>
      <c r="H202" s="16" t="s">
        <v>78</v>
      </c>
      <c r="I202" s="16" t="s">
        <v>52</v>
      </c>
      <c r="J202" s="16" t="s">
        <v>54</v>
      </c>
      <c r="K202" s="17" t="str">
        <f aca="false">IF(A202="","",_xlfn.TEXTJOIN(",",TRUE(),G202:J202))</f>
        <v>かわいい,モード,カジュアル,サブカル</v>
      </c>
      <c r="L202" s="12"/>
    </row>
    <row r="203" customFormat="false" ht="16.5" hidden="false" customHeight="true" outlineLevel="0" collapsed="false">
      <c r="A203" s="11" t="s">
        <v>867</v>
      </c>
      <c r="B203" s="12" t="s">
        <v>868</v>
      </c>
      <c r="C203" s="13" t="n">
        <f aca="false">IF(A203="","",DATE(VALUE(LEFT(A203,4)),VALUE(MID(A203,5,2)),VALUE(MID(A203,7,2))))</f>
        <v>44876</v>
      </c>
      <c r="D203" s="15" t="s">
        <v>869</v>
      </c>
      <c r="E203" s="15" t="s">
        <v>870</v>
      </c>
      <c r="F203" s="12"/>
      <c r="G203" s="16" t="s">
        <v>41</v>
      </c>
      <c r="H203" s="16" t="s">
        <v>35</v>
      </c>
      <c r="I203" s="16" t="s">
        <v>54</v>
      </c>
      <c r="J203" s="16" t="s">
        <v>72</v>
      </c>
      <c r="K203" s="17" t="str">
        <f aca="false">IF(A203="","",_xlfn.TEXTJOIN(",",TRUE(),G203:J203))</f>
        <v>かわいい,ガーリー,サブカル,コスプレ</v>
      </c>
      <c r="L203" s="12"/>
    </row>
    <row r="204" customFormat="false" ht="16.5" hidden="false" customHeight="true" outlineLevel="0" collapsed="false">
      <c r="A204" s="11" t="s">
        <v>871</v>
      </c>
      <c r="B204" s="12" t="s">
        <v>872</v>
      </c>
      <c r="C204" s="13" t="n">
        <f aca="false">IF(A204="","",DATE(VALUE(LEFT(A204,4)),VALUE(MID(A204,5,2)),VALUE(MID(A204,7,2))))</f>
        <v>44875</v>
      </c>
      <c r="D204" s="15" t="s">
        <v>873</v>
      </c>
      <c r="E204" s="15" t="s">
        <v>874</v>
      </c>
      <c r="F204" s="12"/>
      <c r="G204" s="16" t="s">
        <v>47</v>
      </c>
      <c r="H204" s="16" t="s">
        <v>53</v>
      </c>
      <c r="I204" s="16" t="s">
        <v>52</v>
      </c>
      <c r="J204" s="16" t="s">
        <v>88</v>
      </c>
      <c r="K204" s="17" t="str">
        <f aca="false">IF(A204="","",_xlfn.TEXTJOIN(",",TRUE(),G204:J204))</f>
        <v>大人っぽい,クール,カジュアル,ゴス・地雷</v>
      </c>
      <c r="L204" s="12"/>
    </row>
    <row r="205" customFormat="false" ht="16.5" hidden="false" customHeight="true" outlineLevel="0" collapsed="false">
      <c r="A205" s="11" t="s">
        <v>875</v>
      </c>
      <c r="B205" s="15" t="s">
        <v>876</v>
      </c>
      <c r="C205" s="13" t="n">
        <f aca="false">IF(A205="","",DATE(VALUE(LEFT(A205,4)),VALUE(MID(A205,5,2)),VALUE(MID(A205,7,2))))</f>
        <v>44848</v>
      </c>
      <c r="D205" s="15" t="s">
        <v>877</v>
      </c>
      <c r="E205" s="15" t="s">
        <v>878</v>
      </c>
      <c r="F205" s="12"/>
      <c r="G205" s="16" t="s">
        <v>46</v>
      </c>
      <c r="H205" s="16" t="s">
        <v>67</v>
      </c>
      <c r="I205" s="16" t="s">
        <v>47</v>
      </c>
      <c r="J205" s="16" t="s">
        <v>34</v>
      </c>
      <c r="K205" s="17" t="str">
        <f aca="false">IF(A205="","",_xlfn.TEXTJOIN(",",TRUE(),G205:J205))</f>
        <v>きれいめ,セクシー,大人っぽい,フェミニン</v>
      </c>
      <c r="L205" s="12"/>
    </row>
    <row r="206" customFormat="false" ht="16.5" hidden="false" customHeight="true" outlineLevel="0" collapsed="false">
      <c r="A206" s="11" t="s">
        <v>879</v>
      </c>
      <c r="B206" s="12" t="s">
        <v>880</v>
      </c>
      <c r="C206" s="13" t="n">
        <f aca="false">IF(A206="","",DATE(VALUE(LEFT(A206,4)),VALUE(MID(A206,5,2)),VALUE(MID(A206,7,2))))</f>
        <v>44848</v>
      </c>
      <c r="D206" s="15" t="s">
        <v>881</v>
      </c>
      <c r="E206" s="15" t="s">
        <v>882</v>
      </c>
      <c r="F206" s="12"/>
      <c r="G206" s="16" t="s">
        <v>41</v>
      </c>
      <c r="H206" s="16" t="s">
        <v>34</v>
      </c>
      <c r="I206" s="16" t="s">
        <v>35</v>
      </c>
      <c r="J206" s="16" t="s">
        <v>33</v>
      </c>
      <c r="K206" s="17" t="str">
        <f aca="false">IF(A206="","",_xlfn.TEXTJOIN(",",TRUE(),G206:J206))</f>
        <v>かわいい,フェミニン,ガーリー,清楚</v>
      </c>
      <c r="L206" s="12"/>
    </row>
    <row r="207" customFormat="false" ht="16.5" hidden="false" customHeight="true" outlineLevel="0" collapsed="false">
      <c r="A207" s="11" t="s">
        <v>883</v>
      </c>
      <c r="B207" s="12" t="s">
        <v>884</v>
      </c>
      <c r="C207" s="13" t="n">
        <f aca="false">IF(A207="","",DATE(VALUE(LEFT(A207,4)),VALUE(MID(A207,5,2)),VALUE(MID(A207,7,2))))</f>
        <v>44835</v>
      </c>
      <c r="D207" s="15" t="s">
        <v>885</v>
      </c>
      <c r="E207" s="15" t="s">
        <v>886</v>
      </c>
      <c r="F207" s="12"/>
      <c r="G207" s="16" t="s">
        <v>46</v>
      </c>
      <c r="H207" s="16" t="s">
        <v>47</v>
      </c>
      <c r="I207" s="16" t="s">
        <v>53</v>
      </c>
      <c r="J207" s="16" t="s">
        <v>67</v>
      </c>
      <c r="K207" s="17" t="str">
        <f aca="false">IF(A207="","",_xlfn.TEXTJOIN(",",TRUE(),G207:J207))</f>
        <v>きれいめ,大人っぽい,クール,セクシー</v>
      </c>
      <c r="L207" s="12"/>
    </row>
    <row r="208" customFormat="false" ht="16.5" hidden="false" customHeight="true" outlineLevel="0" collapsed="false">
      <c r="A208" s="11" t="s">
        <v>887</v>
      </c>
      <c r="B208" s="12" t="s">
        <v>888</v>
      </c>
      <c r="C208" s="13" t="n">
        <f aca="false">IF(A208="","",DATE(VALUE(LEFT(A208,4)),VALUE(MID(A208,5,2)),VALUE(MID(A208,7,2))))</f>
        <v>44832</v>
      </c>
      <c r="D208" s="15" t="s">
        <v>889</v>
      </c>
      <c r="E208" s="15" t="s">
        <v>890</v>
      </c>
      <c r="F208" s="12"/>
      <c r="G208" s="16" t="s">
        <v>41</v>
      </c>
      <c r="H208" s="16" t="s">
        <v>35</v>
      </c>
      <c r="I208" s="16" t="s">
        <v>54</v>
      </c>
      <c r="J208" s="16" t="s">
        <v>72</v>
      </c>
      <c r="K208" s="17" t="str">
        <f aca="false">IF(A208="","",_xlfn.TEXTJOIN(",",TRUE(),G208:J208))</f>
        <v>かわいい,ガーリー,サブカル,コスプレ</v>
      </c>
      <c r="L208" s="12"/>
    </row>
    <row r="209" customFormat="false" ht="16.5" hidden="false" customHeight="true" outlineLevel="0" collapsed="false">
      <c r="A209" s="11" t="s">
        <v>891</v>
      </c>
      <c r="B209" s="12" t="s">
        <v>892</v>
      </c>
      <c r="C209" s="13" t="n">
        <f aca="false">IF(A209="","",DATE(VALUE(LEFT(A209,4)),VALUE(MID(A209,5,2)),VALUE(MID(A209,7,2))))</f>
        <v>44819</v>
      </c>
      <c r="D209" s="15" t="s">
        <v>893</v>
      </c>
      <c r="E209" s="15" t="s">
        <v>894</v>
      </c>
      <c r="F209" s="12"/>
      <c r="G209" s="16" t="s">
        <v>47</v>
      </c>
      <c r="H209" s="16" t="s">
        <v>67</v>
      </c>
      <c r="I209" s="16" t="s">
        <v>53</v>
      </c>
      <c r="J209" s="16" t="s">
        <v>145</v>
      </c>
      <c r="K209" s="17" t="str">
        <f aca="false">IF(A209="","",_xlfn.TEXTJOIN(",",TRUE(),G209:J209))</f>
        <v>大人っぽい,セクシー,クール,ギャル</v>
      </c>
      <c r="L209" s="12"/>
    </row>
    <row r="210" customFormat="false" ht="16.5" hidden="false" customHeight="true" outlineLevel="0" collapsed="false">
      <c r="A210" s="11" t="s">
        <v>895</v>
      </c>
      <c r="B210" s="12" t="s">
        <v>896</v>
      </c>
      <c r="C210" s="13" t="n">
        <f aca="false">IF(A210="","",DATE(VALUE(LEFT(A210,4)),VALUE(MID(A210,5,2)),VALUE(MID(A210,7,2))))</f>
        <v>44818</v>
      </c>
      <c r="D210" s="15" t="s">
        <v>897</v>
      </c>
      <c r="E210" s="15" t="s">
        <v>898</v>
      </c>
      <c r="F210" s="12"/>
      <c r="G210" s="16" t="s">
        <v>77</v>
      </c>
      <c r="H210" s="16" t="s">
        <v>35</v>
      </c>
      <c r="I210" s="16" t="s">
        <v>52</v>
      </c>
      <c r="J210" s="16" t="s">
        <v>36</v>
      </c>
      <c r="K210" s="17" t="str">
        <f aca="false">IF(A210="","",_xlfn.TEXTJOIN(",",TRUE(),G210:J210))</f>
        <v>ナチュラル,ガーリー,カジュアル,レトロ</v>
      </c>
      <c r="L210" s="12"/>
    </row>
    <row r="211" customFormat="false" ht="16.5" hidden="false" customHeight="true" outlineLevel="0" collapsed="false">
      <c r="A211" s="11" t="s">
        <v>899</v>
      </c>
      <c r="B211" s="12" t="s">
        <v>900</v>
      </c>
      <c r="C211" s="13" t="n">
        <f aca="false">IF(A211="","",DATE(VALUE(LEFT(A211,4)),VALUE(MID(A211,5,2)),VALUE(MID(A211,7,2))))</f>
        <v>44793</v>
      </c>
      <c r="D211" s="15" t="s">
        <v>901</v>
      </c>
      <c r="E211" s="15" t="s">
        <v>902</v>
      </c>
      <c r="F211" s="12"/>
      <c r="G211" s="16" t="s">
        <v>47</v>
      </c>
      <c r="H211" s="16" t="s">
        <v>77</v>
      </c>
      <c r="I211" s="16" t="s">
        <v>53</v>
      </c>
      <c r="J211" s="16" t="s">
        <v>83</v>
      </c>
      <c r="K211" s="17" t="str">
        <f aca="false">IF(A211="","",_xlfn.TEXTJOIN(",",TRUE(),G211:J211))</f>
        <v>大人っぽい,ナチュラル,クール,和装</v>
      </c>
      <c r="L211" s="12"/>
    </row>
    <row r="212" customFormat="false" ht="16.5" hidden="false" customHeight="true" outlineLevel="0" collapsed="false">
      <c r="A212" s="11" t="s">
        <v>903</v>
      </c>
      <c r="B212" s="12" t="s">
        <v>904</v>
      </c>
      <c r="C212" s="13" t="n">
        <f aca="false">IF(A212="","",DATE(VALUE(LEFT(A212,4)),VALUE(MID(A212,5,2)),VALUE(MID(A212,7,2))))</f>
        <v>44776</v>
      </c>
      <c r="D212" s="15" t="s">
        <v>905</v>
      </c>
      <c r="E212" s="15" t="s">
        <v>906</v>
      </c>
      <c r="F212" s="12"/>
      <c r="G212" s="16" t="s">
        <v>41</v>
      </c>
      <c r="H212" s="16" t="s">
        <v>52</v>
      </c>
      <c r="I212" s="16" t="s">
        <v>77</v>
      </c>
      <c r="J212" s="16" t="s">
        <v>54</v>
      </c>
      <c r="K212" s="17" t="str">
        <f aca="false">IF(A212="","",_xlfn.TEXTJOIN(",",TRUE(),G212:J212))</f>
        <v>かわいい,カジュアル,ナチュラル,サブカル</v>
      </c>
      <c r="L212" s="12"/>
    </row>
    <row r="213" customFormat="false" ht="16.5" hidden="false" customHeight="true" outlineLevel="0" collapsed="false">
      <c r="A213" s="11" t="s">
        <v>907</v>
      </c>
      <c r="B213" s="12" t="s">
        <v>908</v>
      </c>
      <c r="C213" s="13" t="n">
        <f aca="false">IF(A213="","",DATE(VALUE(LEFT(A213,4)),VALUE(MID(A213,5,2)),VALUE(MID(A213,7,2))))</f>
        <v>44771</v>
      </c>
      <c r="D213" s="15" t="s">
        <v>909</v>
      </c>
      <c r="E213" s="15" t="s">
        <v>910</v>
      </c>
      <c r="F213" s="12"/>
      <c r="G213" s="16" t="s">
        <v>41</v>
      </c>
      <c r="H213" s="16" t="s">
        <v>35</v>
      </c>
      <c r="I213" s="16" t="s">
        <v>77</v>
      </c>
      <c r="J213" s="16" t="s">
        <v>83</v>
      </c>
      <c r="K213" s="17" t="str">
        <f aca="false">IF(A213="","",_xlfn.TEXTJOIN(",",TRUE(),G213:J213))</f>
        <v>かわいい,ガーリー,ナチュラル,和装</v>
      </c>
      <c r="L213" s="12"/>
    </row>
    <row r="214" customFormat="false" ht="16.5" hidden="false" customHeight="true" outlineLevel="0" collapsed="false">
      <c r="A214" s="11" t="s">
        <v>911</v>
      </c>
      <c r="B214" s="12" t="s">
        <v>912</v>
      </c>
      <c r="C214" s="13" t="n">
        <f aca="false">IF(A214="","",DATE(VALUE(LEFT(A214,4)),VALUE(MID(A214,5,2)),VALUE(MID(A214,7,2))))</f>
        <v>44770</v>
      </c>
      <c r="D214" s="15" t="s">
        <v>913</v>
      </c>
      <c r="E214" s="15" t="s">
        <v>914</v>
      </c>
      <c r="F214" s="12"/>
      <c r="G214" s="16" t="s">
        <v>46</v>
      </c>
      <c r="H214" s="16" t="s">
        <v>33</v>
      </c>
      <c r="I214" s="16" t="s">
        <v>47</v>
      </c>
      <c r="J214" s="16" t="s">
        <v>53</v>
      </c>
      <c r="K214" s="17" t="str">
        <f aca="false">IF(A214="","",_xlfn.TEXTJOIN(",",TRUE(),G214:J214))</f>
        <v>きれいめ,清楚,大人っぽい,クール</v>
      </c>
      <c r="L214" s="12"/>
    </row>
    <row r="215" customFormat="false" ht="16.5" hidden="false" customHeight="true" outlineLevel="0" collapsed="false">
      <c r="A215" s="11" t="s">
        <v>915</v>
      </c>
      <c r="B215" s="12" t="s">
        <v>916</v>
      </c>
      <c r="C215" s="13" t="n">
        <f aca="false">IF(A215="","",DATE(VALUE(LEFT(A215,4)),VALUE(MID(A215,5,2)),VALUE(MID(A215,7,2))))</f>
        <v>44770</v>
      </c>
      <c r="D215" s="15" t="s">
        <v>917</v>
      </c>
      <c r="E215" s="15" t="s">
        <v>918</v>
      </c>
      <c r="F215" s="12"/>
      <c r="G215" s="16" t="s">
        <v>41</v>
      </c>
      <c r="H215" s="16" t="s">
        <v>67</v>
      </c>
      <c r="I215" s="16" t="s">
        <v>53</v>
      </c>
      <c r="J215" s="16" t="s">
        <v>54</v>
      </c>
      <c r="K215" s="17" t="str">
        <f aca="false">IF(A215="","",_xlfn.TEXTJOIN(",",TRUE(),G215:J215))</f>
        <v>かわいい,セクシー,クール,サブカル</v>
      </c>
      <c r="L215" s="12"/>
    </row>
    <row r="216" customFormat="false" ht="16.5" hidden="false" customHeight="true" outlineLevel="0" collapsed="false">
      <c r="A216" s="11" t="s">
        <v>919</v>
      </c>
      <c r="B216" s="12" t="s">
        <v>920</v>
      </c>
      <c r="C216" s="13" t="n">
        <f aca="false">IF(A216="","",DATE(VALUE(LEFT(A216,4)),VALUE(MID(A216,5,2)),VALUE(MID(A216,7,2))))</f>
        <v>44762</v>
      </c>
      <c r="D216" s="15" t="s">
        <v>921</v>
      </c>
      <c r="E216" s="15" t="s">
        <v>922</v>
      </c>
      <c r="F216" s="12"/>
      <c r="G216" s="16" t="s">
        <v>41</v>
      </c>
      <c r="H216" s="16" t="s">
        <v>35</v>
      </c>
      <c r="I216" s="16" t="s">
        <v>77</v>
      </c>
      <c r="J216" s="16" t="s">
        <v>72</v>
      </c>
      <c r="K216" s="17" t="str">
        <f aca="false">IF(A216="","",_xlfn.TEXTJOIN(",",TRUE(),G216:J216))</f>
        <v>かわいい,ガーリー,ナチュラル,コスプレ</v>
      </c>
      <c r="L216" s="12"/>
    </row>
    <row r="217" customFormat="false" ht="16.5" hidden="false" customHeight="true" outlineLevel="0" collapsed="false">
      <c r="A217" s="11" t="s">
        <v>923</v>
      </c>
      <c r="B217" s="12" t="s">
        <v>924</v>
      </c>
      <c r="C217" s="13" t="n">
        <f aca="false">IF(A217="","",DATE(VALUE(LEFT(A217,4)),VALUE(MID(A217,5,2)),VALUE(MID(A217,7,2))))</f>
        <v>44749</v>
      </c>
      <c r="D217" s="15" t="s">
        <v>925</v>
      </c>
      <c r="E217" s="15" t="s">
        <v>926</v>
      </c>
      <c r="F217" s="12"/>
      <c r="G217" s="16" t="s">
        <v>53</v>
      </c>
      <c r="H217" s="16" t="s">
        <v>88</v>
      </c>
      <c r="I217" s="16" t="s">
        <v>54</v>
      </c>
      <c r="J217" s="16"/>
      <c r="K217" s="17" t="str">
        <f aca="false">IF(A217="","",_xlfn.TEXTJOIN(",",TRUE(),G217:J217))</f>
        <v>クール,ゴス・地雷,サブカル</v>
      </c>
      <c r="L217" s="12"/>
    </row>
    <row r="218" customFormat="false" ht="16.5" hidden="false" customHeight="true" outlineLevel="0" collapsed="false">
      <c r="A218" s="11" t="s">
        <v>927</v>
      </c>
      <c r="B218" s="12" t="s">
        <v>833</v>
      </c>
      <c r="C218" s="13" t="n">
        <f aca="false">IF(A218="","",DATE(VALUE(LEFT(A218,4)),VALUE(MID(A218,5,2)),VALUE(MID(A218,7,2))))</f>
        <v>44737</v>
      </c>
      <c r="D218" s="15" t="s">
        <v>928</v>
      </c>
      <c r="E218" s="15" t="s">
        <v>929</v>
      </c>
      <c r="F218" s="12"/>
      <c r="G218" s="16" t="s">
        <v>46</v>
      </c>
      <c r="H218" s="16" t="s">
        <v>33</v>
      </c>
      <c r="I218" s="16" t="s">
        <v>47</v>
      </c>
      <c r="J218" s="16"/>
      <c r="K218" s="17" t="str">
        <f aca="false">IF(A218="","",_xlfn.TEXTJOIN(",",TRUE(),G218:J218))</f>
        <v>きれいめ,清楚,大人っぽい</v>
      </c>
      <c r="L218" s="12"/>
    </row>
    <row r="219" customFormat="false" ht="16.5" hidden="false" customHeight="true" outlineLevel="0" collapsed="false">
      <c r="A219" s="11" t="s">
        <v>930</v>
      </c>
      <c r="B219" s="15" t="s">
        <v>931</v>
      </c>
      <c r="C219" s="13" t="n">
        <f aca="false">IF(A219="","",DATE(VALUE(LEFT(A219,4)),VALUE(MID(A219,5,2)),VALUE(MID(A219,7,2))))</f>
        <v>44734</v>
      </c>
      <c r="D219" s="15" t="s">
        <v>932</v>
      </c>
      <c r="E219" s="15" t="s">
        <v>933</v>
      </c>
      <c r="F219" s="12"/>
      <c r="G219" s="16" t="s">
        <v>77</v>
      </c>
      <c r="H219" s="16" t="s">
        <v>52</v>
      </c>
      <c r="I219" s="16" t="s">
        <v>54</v>
      </c>
      <c r="J219" s="16"/>
      <c r="K219" s="17" t="str">
        <f aca="false">IF(A219="","",_xlfn.TEXTJOIN(",",TRUE(),G219:J219))</f>
        <v>ナチュラル,カジュアル,サブカル</v>
      </c>
      <c r="L219" s="12"/>
    </row>
    <row r="220" customFormat="false" ht="16.5" hidden="false" customHeight="true" outlineLevel="0" collapsed="false">
      <c r="A220" s="11" t="s">
        <v>934</v>
      </c>
      <c r="B220" s="15" t="s">
        <v>935</v>
      </c>
      <c r="C220" s="13" t="n">
        <f aca="false">IF(A220="","",DATE(VALUE(LEFT(A220,4)),VALUE(MID(A220,5,2)),VALUE(MID(A220,7,2))))</f>
        <v>44734</v>
      </c>
      <c r="D220" s="15" t="s">
        <v>936</v>
      </c>
      <c r="E220" s="15" t="s">
        <v>937</v>
      </c>
      <c r="F220" s="12"/>
      <c r="G220" s="16" t="s">
        <v>46</v>
      </c>
      <c r="H220" s="16" t="s">
        <v>47</v>
      </c>
      <c r="I220" s="16" t="s">
        <v>53</v>
      </c>
      <c r="J220" s="16" t="s">
        <v>145</v>
      </c>
      <c r="K220" s="17" t="str">
        <f aca="false">IF(A220="","",_xlfn.TEXTJOIN(",",TRUE(),G220:J220))</f>
        <v>きれいめ,大人っぽい,クール,ギャル</v>
      </c>
      <c r="L220" s="12"/>
    </row>
    <row r="221" customFormat="false" ht="16.5" hidden="false" customHeight="true" outlineLevel="0" collapsed="false">
      <c r="A221" s="11" t="s">
        <v>938</v>
      </c>
      <c r="B221" s="12" t="s">
        <v>939</v>
      </c>
      <c r="C221" s="13" t="n">
        <f aca="false">IF(A221="","",DATE(VALUE(LEFT(A221,4)),VALUE(MID(A221,5,2)),VALUE(MID(A221,7,2))))</f>
        <v>44733</v>
      </c>
      <c r="D221" s="15" t="s">
        <v>940</v>
      </c>
      <c r="E221" s="15" t="s">
        <v>941</v>
      </c>
      <c r="F221" s="12"/>
      <c r="G221" s="16" t="s">
        <v>41</v>
      </c>
      <c r="H221" s="16" t="s">
        <v>35</v>
      </c>
      <c r="I221" s="16" t="s">
        <v>54</v>
      </c>
      <c r="J221" s="16" t="s">
        <v>72</v>
      </c>
      <c r="K221" s="17" t="str">
        <f aca="false">IF(A221="","",_xlfn.TEXTJOIN(",",TRUE(),G221:J221))</f>
        <v>かわいい,ガーリー,サブカル,コスプレ</v>
      </c>
      <c r="L221" s="12"/>
    </row>
    <row r="222" customFormat="false" ht="16.5" hidden="false" customHeight="true" outlineLevel="0" collapsed="false">
      <c r="A222" s="11" t="s">
        <v>942</v>
      </c>
      <c r="B222" s="12" t="s">
        <v>943</v>
      </c>
      <c r="C222" s="13" t="n">
        <f aca="false">IF(A222="","",DATE(VALUE(LEFT(A222,4)),VALUE(MID(A222,5,2)),VALUE(MID(A222,7,2))))</f>
        <v>44713</v>
      </c>
      <c r="D222" s="15" t="s">
        <v>944</v>
      </c>
      <c r="E222" s="15" t="s">
        <v>945</v>
      </c>
      <c r="F222" s="12"/>
      <c r="G222" s="16" t="s">
        <v>41</v>
      </c>
      <c r="H222" s="16" t="s">
        <v>35</v>
      </c>
      <c r="I222" s="16" t="s">
        <v>54</v>
      </c>
      <c r="J222" s="16" t="s">
        <v>72</v>
      </c>
      <c r="K222" s="17" t="str">
        <f aca="false">IF(A222="","",_xlfn.TEXTJOIN(",",TRUE(),G222:J222))</f>
        <v>かわいい,ガーリー,サブカル,コスプレ</v>
      </c>
      <c r="L222" s="12"/>
    </row>
    <row r="223" customFormat="false" ht="16.5" hidden="false" customHeight="true" outlineLevel="0" collapsed="false">
      <c r="A223" s="11" t="s">
        <v>946</v>
      </c>
      <c r="B223" s="12" t="s">
        <v>947</v>
      </c>
      <c r="C223" s="13" t="n">
        <f aca="false">IF(A223="","",DATE(VALUE(LEFT(A223,4)),VALUE(MID(A223,5,2)),VALUE(MID(A223,7,2))))</f>
        <v>44705</v>
      </c>
      <c r="D223" s="15" t="s">
        <v>948</v>
      </c>
      <c r="E223" s="15" t="s">
        <v>949</v>
      </c>
      <c r="F223" s="12"/>
      <c r="G223" s="16" t="s">
        <v>41</v>
      </c>
      <c r="H223" s="16" t="s">
        <v>145</v>
      </c>
      <c r="I223" s="16" t="s">
        <v>52</v>
      </c>
      <c r="J223" s="16"/>
      <c r="K223" s="17" t="str">
        <f aca="false">IF(A223="","",_xlfn.TEXTJOIN(",",TRUE(),G223:J223))</f>
        <v>かわいい,ギャル,カジュアル</v>
      </c>
      <c r="L223" s="12"/>
    </row>
    <row r="224" customFormat="false" ht="16.5" hidden="false" customHeight="true" outlineLevel="0" collapsed="false">
      <c r="A224" s="11" t="s">
        <v>950</v>
      </c>
      <c r="B224" s="12" t="s">
        <v>951</v>
      </c>
      <c r="C224" s="13" t="n">
        <f aca="false">IF(A224="","",DATE(VALUE(LEFT(A224,4)),VALUE(MID(A224,5,2)),VALUE(MID(A224,7,2))))</f>
        <v>44702</v>
      </c>
      <c r="D224" s="15" t="s">
        <v>952</v>
      </c>
      <c r="E224" s="15" t="s">
        <v>953</v>
      </c>
      <c r="F224" s="12"/>
      <c r="G224" s="16" t="s">
        <v>145</v>
      </c>
      <c r="H224" s="16" t="s">
        <v>52</v>
      </c>
      <c r="I224" s="16"/>
      <c r="J224" s="16"/>
      <c r="K224" s="17" t="str">
        <f aca="false">IF(A224="","",_xlfn.TEXTJOIN(",",TRUE(),G224:J224))</f>
        <v>ギャル,カジュアル</v>
      </c>
      <c r="L224" s="12"/>
    </row>
    <row r="225" customFormat="false" ht="16.5" hidden="false" customHeight="true" outlineLevel="0" collapsed="false">
      <c r="A225" s="11" t="s">
        <v>954</v>
      </c>
      <c r="B225" s="12" t="s">
        <v>955</v>
      </c>
      <c r="C225" s="13" t="n">
        <f aca="false">IF(A225="","",DATE(VALUE(LEFT(A225,4)),VALUE(MID(A225,5,2)),VALUE(MID(A225,7,2))))</f>
        <v>44692</v>
      </c>
      <c r="D225" s="15" t="s">
        <v>956</v>
      </c>
      <c r="E225" s="15" t="s">
        <v>957</v>
      </c>
      <c r="F225" s="12"/>
      <c r="G225" s="16" t="s">
        <v>46</v>
      </c>
      <c r="H225" s="16" t="s">
        <v>47</v>
      </c>
      <c r="I225" s="16" t="s">
        <v>67</v>
      </c>
      <c r="J225" s="16"/>
      <c r="K225" s="17" t="str">
        <f aca="false">IF(A225="","",_xlfn.TEXTJOIN(",",TRUE(),G225:J225))</f>
        <v>きれいめ,大人っぽい,セクシー</v>
      </c>
      <c r="L225" s="12"/>
    </row>
    <row r="226" customFormat="false" ht="16.5" hidden="false" customHeight="true" outlineLevel="0" collapsed="false">
      <c r="A226" s="11" t="s">
        <v>958</v>
      </c>
      <c r="B226" s="12" t="s">
        <v>959</v>
      </c>
      <c r="C226" s="13" t="n">
        <f aca="false">IF(A226="","",DATE(VALUE(LEFT(A226,4)),VALUE(MID(A226,5,2)),VALUE(MID(A226,7,2))))</f>
        <v>44686</v>
      </c>
      <c r="D226" s="15" t="s">
        <v>960</v>
      </c>
      <c r="E226" s="15" t="s">
        <v>961</v>
      </c>
      <c r="F226" s="12"/>
      <c r="G226" s="16" t="s">
        <v>46</v>
      </c>
      <c r="H226" s="16" t="s">
        <v>33</v>
      </c>
      <c r="I226" s="16" t="s">
        <v>77</v>
      </c>
      <c r="J226" s="16" t="s">
        <v>52</v>
      </c>
      <c r="K226" s="17" t="str">
        <f aca="false">IF(A226="","",_xlfn.TEXTJOIN(",",TRUE(),G226:J226))</f>
        <v>きれいめ,清楚,ナチュラル,カジュアル</v>
      </c>
      <c r="L226" s="12"/>
    </row>
    <row r="227" customFormat="false" ht="16.5" hidden="false" customHeight="true" outlineLevel="0" collapsed="false">
      <c r="A227" s="11" t="s">
        <v>962</v>
      </c>
      <c r="B227" s="12" t="s">
        <v>773</v>
      </c>
      <c r="C227" s="13" t="n">
        <f aca="false">IF(A227="","",DATE(VALUE(LEFT(A227,4)),VALUE(MID(A227,5,2)),VALUE(MID(A227,7,2))))</f>
        <v>44678</v>
      </c>
      <c r="D227" s="15" t="s">
        <v>963</v>
      </c>
      <c r="E227" s="15" t="s">
        <v>964</v>
      </c>
      <c r="F227" s="12"/>
      <c r="G227" s="16" t="s">
        <v>145</v>
      </c>
      <c r="H227" s="16" t="s">
        <v>115</v>
      </c>
      <c r="I227" s="16" t="s">
        <v>52</v>
      </c>
      <c r="J227" s="16"/>
      <c r="K227" s="17" t="str">
        <f aca="false">IF(A227="","",_xlfn.TEXTJOIN(",",TRUE(),G227:J227))</f>
        <v>ギャル,ボーイッシュ,カジュアル</v>
      </c>
      <c r="L227" s="12"/>
    </row>
    <row r="228" customFormat="false" ht="16.5" hidden="false" customHeight="true" outlineLevel="0" collapsed="false">
      <c r="A228" s="11" t="s">
        <v>965</v>
      </c>
      <c r="B228" s="12" t="s">
        <v>966</v>
      </c>
      <c r="C228" s="13" t="n">
        <f aca="false">IF(A228="","",DATE(VALUE(LEFT(A228,4)),VALUE(MID(A228,5,2)),VALUE(MID(A228,7,2))))</f>
        <v>44672</v>
      </c>
      <c r="D228" s="15" t="s">
        <v>967</v>
      </c>
      <c r="E228" s="15" t="s">
        <v>968</v>
      </c>
      <c r="F228" s="12"/>
      <c r="G228" s="16" t="s">
        <v>46</v>
      </c>
      <c r="H228" s="16" t="s">
        <v>34</v>
      </c>
      <c r="I228" s="16" t="s">
        <v>35</v>
      </c>
      <c r="J228" s="16"/>
      <c r="K228" s="17" t="str">
        <f aca="false">IF(A228="","",_xlfn.TEXTJOIN(",",TRUE(),G228:J228))</f>
        <v>きれいめ,フェミニン,ガーリー</v>
      </c>
      <c r="L228" s="12"/>
    </row>
    <row r="229" customFormat="false" ht="16.5" hidden="false" customHeight="true" outlineLevel="0" collapsed="false">
      <c r="A229" s="11" t="s">
        <v>969</v>
      </c>
      <c r="B229" s="12" t="s">
        <v>970</v>
      </c>
      <c r="C229" s="13" t="n">
        <f aca="false">IF(A229="","",DATE(VALUE(LEFT(A229,4)),VALUE(MID(A229,5,2)),VALUE(MID(A229,7,2))))</f>
        <v>44668</v>
      </c>
      <c r="D229" s="15" t="s">
        <v>971</v>
      </c>
      <c r="E229" s="15" t="s">
        <v>972</v>
      </c>
      <c r="F229" s="12"/>
      <c r="G229" s="16" t="s">
        <v>77</v>
      </c>
      <c r="H229" s="16" t="s">
        <v>35</v>
      </c>
      <c r="I229" s="16" t="s">
        <v>54</v>
      </c>
      <c r="J229" s="16"/>
      <c r="K229" s="17" t="str">
        <f aca="false">IF(A229="","",_xlfn.TEXTJOIN(",",TRUE(),G229:J229))</f>
        <v>ナチュラル,ガーリー,サブカル</v>
      </c>
      <c r="L229" s="12"/>
    </row>
    <row r="230" customFormat="false" ht="16.5" hidden="false" customHeight="true" outlineLevel="0" collapsed="false">
      <c r="A230" s="11" t="s">
        <v>973</v>
      </c>
      <c r="B230" s="15" t="s">
        <v>974</v>
      </c>
      <c r="C230" s="13" t="n">
        <f aca="false">IF(A230="","",DATE(VALUE(LEFT(A230,4)),VALUE(MID(A230,5,2)),VALUE(MID(A230,7,2))))</f>
        <v>44650</v>
      </c>
      <c r="D230" s="15" t="s">
        <v>975</v>
      </c>
      <c r="E230" s="15" t="s">
        <v>976</v>
      </c>
      <c r="F230" s="12"/>
      <c r="G230" s="16" t="s">
        <v>47</v>
      </c>
      <c r="H230" s="16" t="s">
        <v>53</v>
      </c>
      <c r="I230" s="16" t="s">
        <v>78</v>
      </c>
      <c r="J230" s="16"/>
      <c r="K230" s="17" t="str">
        <f aca="false">IF(A230="","",_xlfn.TEXTJOIN(",",TRUE(),G230:J230))</f>
        <v>大人っぽい,クール,モード</v>
      </c>
      <c r="L230" s="12"/>
    </row>
    <row r="231" customFormat="false" ht="16.5" hidden="false" customHeight="true" outlineLevel="0" collapsed="false">
      <c r="A231" s="11" t="s">
        <v>977</v>
      </c>
      <c r="B231" s="12" t="s">
        <v>978</v>
      </c>
      <c r="C231" s="13" t="n">
        <f aca="false">IF(A231="","",DATE(VALUE(LEFT(A231,4)),VALUE(MID(A231,5,2)),VALUE(MID(A231,7,2))))</f>
        <v>44646</v>
      </c>
      <c r="D231" s="15" t="s">
        <v>979</v>
      </c>
      <c r="E231" s="15" t="s">
        <v>980</v>
      </c>
      <c r="F231" s="12"/>
      <c r="G231" s="16" t="s">
        <v>67</v>
      </c>
      <c r="H231" s="16" t="s">
        <v>47</v>
      </c>
      <c r="I231" s="16" t="s">
        <v>34</v>
      </c>
      <c r="J231" s="16"/>
      <c r="K231" s="17" t="str">
        <f aca="false">IF(A231="","",_xlfn.TEXTJOIN(",",TRUE(),G231:J231))</f>
        <v>セクシー,大人っぽい,フェミニン</v>
      </c>
      <c r="L231" s="12"/>
    </row>
    <row r="232" customFormat="false" ht="16.5" hidden="false" customHeight="true" outlineLevel="0" collapsed="false">
      <c r="A232" s="11" t="s">
        <v>981</v>
      </c>
      <c r="B232" s="12" t="s">
        <v>982</v>
      </c>
      <c r="C232" s="13" t="n">
        <f aca="false">IF(A232="","",DATE(VALUE(LEFT(A232,4)),VALUE(MID(A232,5,2)),VALUE(MID(A232,7,2))))</f>
        <v>44644</v>
      </c>
      <c r="D232" s="15" t="s">
        <v>983</v>
      </c>
      <c r="E232" s="15" t="s">
        <v>984</v>
      </c>
      <c r="F232" s="12"/>
      <c r="G232" s="16" t="s">
        <v>41</v>
      </c>
      <c r="H232" s="16" t="s">
        <v>46</v>
      </c>
      <c r="I232" s="16" t="s">
        <v>53</v>
      </c>
      <c r="J232" s="16" t="s">
        <v>77</v>
      </c>
      <c r="K232" s="17" t="str">
        <f aca="false">IF(A232="","",_xlfn.TEXTJOIN(",",TRUE(),G232:J232))</f>
        <v>かわいい,きれいめ,クール,ナチュラル</v>
      </c>
      <c r="L232" s="12"/>
    </row>
    <row r="233" customFormat="false" ht="16.5" hidden="false" customHeight="true" outlineLevel="0" collapsed="false">
      <c r="A233" s="11" t="s">
        <v>985</v>
      </c>
      <c r="B233" s="12" t="s">
        <v>986</v>
      </c>
      <c r="C233" s="13" t="n">
        <f aca="false">IF(A233="","",DATE(VALUE(LEFT(A233,4)),VALUE(MID(A233,5,2)),VALUE(MID(A233,7,2))))</f>
        <v>44634</v>
      </c>
      <c r="D233" s="15" t="s">
        <v>987</v>
      </c>
      <c r="E233" s="15" t="s">
        <v>988</v>
      </c>
      <c r="F233" s="12"/>
      <c r="G233" s="16" t="s">
        <v>41</v>
      </c>
      <c r="H233" s="16" t="s">
        <v>77</v>
      </c>
      <c r="I233" s="16" t="s">
        <v>52</v>
      </c>
      <c r="J233" s="16"/>
      <c r="K233" s="17" t="str">
        <f aca="false">IF(A233="","",_xlfn.TEXTJOIN(",",TRUE(),G233:J233))</f>
        <v>かわいい,ナチュラル,カジュアル</v>
      </c>
      <c r="L233" s="12"/>
    </row>
    <row r="234" customFormat="false" ht="16.5" hidden="false" customHeight="true" outlineLevel="0" collapsed="false">
      <c r="A234" s="11" t="s">
        <v>989</v>
      </c>
      <c r="B234" s="12" t="s">
        <v>990</v>
      </c>
      <c r="C234" s="13" t="n">
        <f aca="false">IF(A234="","",DATE(VALUE(LEFT(A234,4)),VALUE(MID(A234,5,2)),VALUE(MID(A234,7,2))))</f>
        <v>44623</v>
      </c>
      <c r="D234" s="15" t="s">
        <v>991</v>
      </c>
      <c r="E234" s="15" t="s">
        <v>992</v>
      </c>
      <c r="F234" s="12"/>
      <c r="G234" s="16" t="s">
        <v>47</v>
      </c>
      <c r="H234" s="16" t="s">
        <v>77</v>
      </c>
      <c r="I234" s="16"/>
      <c r="J234" s="16"/>
      <c r="K234" s="17" t="str">
        <f aca="false">IF(A234="","",_xlfn.TEXTJOIN(",",TRUE(),G234:J234))</f>
        <v>大人っぽい,ナチュラル</v>
      </c>
      <c r="L234" s="12"/>
    </row>
    <row r="235" customFormat="false" ht="16.5" hidden="false" customHeight="true" outlineLevel="0" collapsed="false">
      <c r="A235" s="11" t="s">
        <v>993</v>
      </c>
      <c r="B235" s="12" t="s">
        <v>418</v>
      </c>
      <c r="C235" s="13" t="n">
        <f aca="false">IF(A235="","",DATE(VALUE(LEFT(A235,4)),VALUE(MID(A235,5,2)),VALUE(MID(A235,7,2))))</f>
        <v>44612</v>
      </c>
      <c r="D235" s="15" t="s">
        <v>994</v>
      </c>
      <c r="E235" s="15" t="s">
        <v>995</v>
      </c>
      <c r="F235" s="12"/>
      <c r="G235" s="16" t="s">
        <v>72</v>
      </c>
      <c r="H235" s="16" t="s">
        <v>54</v>
      </c>
      <c r="I235" s="16" t="s">
        <v>41</v>
      </c>
      <c r="J235" s="16" t="s">
        <v>77</v>
      </c>
      <c r="K235" s="17" t="str">
        <f aca="false">IF(A235="","",_xlfn.TEXTJOIN(",",TRUE(),G235:J235))</f>
        <v>コスプレ,サブカル,かわいい,ナチュラル</v>
      </c>
      <c r="L235" s="12"/>
    </row>
    <row r="236" customFormat="false" ht="16.5" hidden="false" customHeight="true" outlineLevel="0" collapsed="false">
      <c r="A236" s="11" t="s">
        <v>996</v>
      </c>
      <c r="B236" s="12" t="s">
        <v>997</v>
      </c>
      <c r="C236" s="13" t="n">
        <f aca="false">IF(A236="","",DATE(VALUE(LEFT(A236,4)),VALUE(MID(A236,5,2)),VALUE(MID(A236,7,2))))</f>
        <v>44595</v>
      </c>
      <c r="D236" s="15" t="s">
        <v>998</v>
      </c>
      <c r="E236" s="15" t="s">
        <v>999</v>
      </c>
      <c r="F236" s="12"/>
      <c r="G236" s="16" t="s">
        <v>52</v>
      </c>
      <c r="H236" s="16"/>
      <c r="I236" s="16"/>
      <c r="J236" s="16"/>
      <c r="K236" s="17" t="str">
        <f aca="false">IF(A236="","",_xlfn.TEXTJOIN(",",TRUE(),G236:J236))</f>
        <v>カジュアル</v>
      </c>
      <c r="L236" s="12"/>
    </row>
    <row r="237" customFormat="false" ht="16.5" hidden="false" customHeight="true" outlineLevel="0" collapsed="false">
      <c r="A237" s="11" t="s">
        <v>1000</v>
      </c>
      <c r="B237" s="12" t="s">
        <v>1001</v>
      </c>
      <c r="C237" s="13" t="n">
        <f aca="false">IF(A237="","",DATE(VALUE(LEFT(A237,4)),VALUE(MID(A237,5,2)),VALUE(MID(A237,7,2))))</f>
        <v>44591</v>
      </c>
      <c r="D237" s="15" t="s">
        <v>1002</v>
      </c>
      <c r="E237" s="15" t="s">
        <v>1003</v>
      </c>
      <c r="F237" s="12"/>
      <c r="G237" s="16" t="s">
        <v>53</v>
      </c>
      <c r="H237" s="16" t="s">
        <v>54</v>
      </c>
      <c r="I237" s="16" t="s">
        <v>145</v>
      </c>
      <c r="J237" s="16"/>
      <c r="K237" s="17" t="str">
        <f aca="false">IF(A237="","",_xlfn.TEXTJOIN(",",TRUE(),G237:J237))</f>
        <v>クール,サブカル,ギャル</v>
      </c>
      <c r="L237" s="12"/>
    </row>
    <row r="238" customFormat="false" ht="16.5" hidden="false" customHeight="true" outlineLevel="0" collapsed="false">
      <c r="A238" s="11" t="s">
        <v>1004</v>
      </c>
      <c r="B238" s="12" t="s">
        <v>1005</v>
      </c>
      <c r="C238" s="13" t="n">
        <f aca="false">IF(A238="","",DATE(VALUE(LEFT(A238,4)),VALUE(MID(A238,5,2)),VALUE(MID(A238,7,2))))</f>
        <v>44589</v>
      </c>
      <c r="D238" s="15" t="s">
        <v>1006</v>
      </c>
      <c r="E238" s="15" t="s">
        <v>1007</v>
      </c>
      <c r="F238" s="12"/>
      <c r="G238" s="16" t="s">
        <v>41</v>
      </c>
      <c r="H238" s="16" t="s">
        <v>77</v>
      </c>
      <c r="I238" s="16"/>
      <c r="J238" s="16"/>
      <c r="K238" s="17" t="str">
        <f aca="false">IF(A238="","",_xlfn.TEXTJOIN(",",TRUE(),G238:J238))</f>
        <v>かわいい,ナチュラル</v>
      </c>
      <c r="L238" s="12"/>
    </row>
    <row r="239" customFormat="false" ht="16.5" hidden="false" customHeight="true" outlineLevel="0" collapsed="false">
      <c r="A239" s="11" t="s">
        <v>1008</v>
      </c>
      <c r="B239" s="12" t="s">
        <v>1009</v>
      </c>
      <c r="C239" s="13" t="n">
        <f aca="false">IF(A239="","",DATE(VALUE(LEFT(A239,4)),VALUE(MID(A239,5,2)),VALUE(MID(A239,7,2))))</f>
        <v>44589</v>
      </c>
      <c r="D239" s="15" t="s">
        <v>1010</v>
      </c>
      <c r="E239" s="15" t="s">
        <v>1011</v>
      </c>
      <c r="F239" s="12"/>
      <c r="G239" s="16" t="s">
        <v>41</v>
      </c>
      <c r="H239" s="16" t="s">
        <v>72</v>
      </c>
      <c r="I239" s="16" t="s">
        <v>67</v>
      </c>
      <c r="J239" s="16"/>
      <c r="K239" s="17" t="str">
        <f aca="false">IF(A239="","",_xlfn.TEXTJOIN(",",TRUE(),G239:J239))</f>
        <v>かわいい,コスプレ,セクシー</v>
      </c>
      <c r="L239" s="12"/>
    </row>
    <row r="240" customFormat="false" ht="16.5" hidden="false" customHeight="true" outlineLevel="0" collapsed="false">
      <c r="A240" s="11" t="s">
        <v>1012</v>
      </c>
      <c r="B240" s="12" t="s">
        <v>1013</v>
      </c>
      <c r="C240" s="13" t="n">
        <f aca="false">IF(A240="","",DATE(VALUE(LEFT(A240,4)),VALUE(MID(A240,5,2)),VALUE(MID(A240,7,2))))</f>
        <v>44582</v>
      </c>
      <c r="D240" s="15" t="s">
        <v>1014</v>
      </c>
      <c r="E240" s="15" t="s">
        <v>1015</v>
      </c>
      <c r="F240" s="12"/>
      <c r="G240" s="16" t="s">
        <v>88</v>
      </c>
      <c r="H240" s="16"/>
      <c r="I240" s="16"/>
      <c r="J240" s="16"/>
      <c r="K240" s="17" t="str">
        <f aca="false">IF(A240="","",_xlfn.TEXTJOIN(",",TRUE(),G240:J240))</f>
        <v>ゴス・地雷</v>
      </c>
      <c r="L240" s="12"/>
    </row>
    <row r="241" customFormat="false" ht="16.5" hidden="false" customHeight="true" outlineLevel="0" collapsed="false">
      <c r="A241" s="11" t="s">
        <v>1016</v>
      </c>
      <c r="B241" s="12" t="s">
        <v>1017</v>
      </c>
      <c r="C241" s="13" t="n">
        <f aca="false">IF(A241="","",DATE(VALUE(LEFT(A241,4)),VALUE(MID(A241,5,2)),VALUE(MID(A241,7,2))))</f>
        <v>44582</v>
      </c>
      <c r="D241" s="15" t="s">
        <v>1018</v>
      </c>
      <c r="E241" s="15" t="s">
        <v>1019</v>
      </c>
      <c r="F241" s="12"/>
      <c r="G241" s="16" t="s">
        <v>46</v>
      </c>
      <c r="H241" s="16" t="s">
        <v>33</v>
      </c>
      <c r="I241" s="16" t="s">
        <v>77</v>
      </c>
      <c r="J241" s="16"/>
      <c r="K241" s="17" t="str">
        <f aca="false">IF(A241="","",_xlfn.TEXTJOIN(",",TRUE(),G241:J241))</f>
        <v>きれいめ,清楚,ナチュラル</v>
      </c>
      <c r="L241" s="12"/>
    </row>
    <row r="242" customFormat="false" ht="16.5" hidden="false" customHeight="true" outlineLevel="0" collapsed="false">
      <c r="A242" s="11" t="s">
        <v>1020</v>
      </c>
      <c r="B242" s="12" t="s">
        <v>1021</v>
      </c>
      <c r="C242" s="13" t="n">
        <f aca="false">IF(A242="","",DATE(VALUE(LEFT(A242,4)),VALUE(MID(A242,5,2)),VALUE(MID(A242,7,2))))</f>
        <v>44567</v>
      </c>
      <c r="D242" s="15" t="s">
        <v>1022</v>
      </c>
      <c r="E242" s="15" t="s">
        <v>1023</v>
      </c>
      <c r="F242" s="12"/>
      <c r="G242" s="16" t="s">
        <v>41</v>
      </c>
      <c r="H242" s="16" t="s">
        <v>77</v>
      </c>
      <c r="I242" s="16" t="s">
        <v>35</v>
      </c>
      <c r="J242" s="16"/>
      <c r="K242" s="17" t="str">
        <f aca="false">IF(A242="","",_xlfn.TEXTJOIN(",",TRUE(),G242:J242))</f>
        <v>かわいい,ナチュラル,ガーリー</v>
      </c>
      <c r="L242" s="12"/>
    </row>
    <row r="243" customFormat="false" ht="16.5" hidden="false" customHeight="true" outlineLevel="0" collapsed="false">
      <c r="A243" s="11" t="s">
        <v>1024</v>
      </c>
      <c r="B243" s="12" t="s">
        <v>1025</v>
      </c>
      <c r="C243" s="13" t="n">
        <f aca="false">IF(A243="","",DATE(VALUE(LEFT(A243,4)),VALUE(MID(A243,5,2)),VALUE(MID(A243,7,2))))</f>
        <v>44563</v>
      </c>
      <c r="D243" s="15" t="s">
        <v>1026</v>
      </c>
      <c r="E243" s="15" t="s">
        <v>1027</v>
      </c>
      <c r="F243" s="12"/>
      <c r="G243" s="16" t="s">
        <v>53</v>
      </c>
      <c r="H243" s="16" t="s">
        <v>78</v>
      </c>
      <c r="I243" s="16" t="s">
        <v>52</v>
      </c>
      <c r="J243" s="16"/>
      <c r="K243" s="17" t="str">
        <f aca="false">IF(A243="","",_xlfn.TEXTJOIN(",",TRUE(),G243:J243))</f>
        <v>クール,モード,カジュアル</v>
      </c>
      <c r="L243" s="12"/>
    </row>
    <row r="244" customFormat="false" ht="16.5" hidden="false" customHeight="true" outlineLevel="0" collapsed="false">
      <c r="A244" s="11" t="s">
        <v>1028</v>
      </c>
      <c r="B244" s="12" t="s">
        <v>1029</v>
      </c>
      <c r="C244" s="13" t="n">
        <f aca="false">IF(A244="","",DATE(VALUE(LEFT(A244,4)),VALUE(MID(A244,5,2)),VALUE(MID(A244,7,2))))</f>
        <v>44549</v>
      </c>
      <c r="D244" s="15" t="s">
        <v>1030</v>
      </c>
      <c r="E244" s="15" t="s">
        <v>1031</v>
      </c>
      <c r="F244" s="12"/>
      <c r="G244" s="16" t="s">
        <v>145</v>
      </c>
      <c r="H244" s="16" t="s">
        <v>54</v>
      </c>
      <c r="I244" s="16" t="s">
        <v>72</v>
      </c>
      <c r="J244" s="16"/>
      <c r="K244" s="17" t="str">
        <f aca="false">IF(A244="","",_xlfn.TEXTJOIN(",",TRUE(),G244:J244))</f>
        <v>ギャル,サブカル,コスプレ</v>
      </c>
      <c r="L244" s="12"/>
    </row>
    <row r="245" customFormat="false" ht="16.5" hidden="false" customHeight="true" outlineLevel="0" collapsed="false">
      <c r="A245" s="11" t="s">
        <v>1032</v>
      </c>
      <c r="B245" s="12" t="s">
        <v>1033</v>
      </c>
      <c r="C245" s="13" t="n">
        <f aca="false">IF(A245="","",DATE(VALUE(LEFT(A245,4)),VALUE(MID(A245,5,2)),VALUE(MID(A245,7,2))))</f>
        <v>44535</v>
      </c>
      <c r="D245" s="15" t="s">
        <v>1034</v>
      </c>
      <c r="E245" s="15" t="s">
        <v>1035</v>
      </c>
      <c r="F245" s="12"/>
      <c r="G245" s="16" t="s">
        <v>41</v>
      </c>
      <c r="H245" s="16" t="s">
        <v>54</v>
      </c>
      <c r="I245" s="16" t="s">
        <v>72</v>
      </c>
      <c r="J245" s="16" t="s">
        <v>35</v>
      </c>
      <c r="K245" s="17" t="str">
        <f aca="false">IF(A245="","",_xlfn.TEXTJOIN(",",TRUE(),G245:J245))</f>
        <v>かわいい,サブカル,コスプレ,ガーリー</v>
      </c>
      <c r="L245" s="12"/>
    </row>
    <row r="246" customFormat="false" ht="16.5" hidden="false" customHeight="true" outlineLevel="0" collapsed="false">
      <c r="A246" s="11" t="s">
        <v>1036</v>
      </c>
      <c r="B246" s="12" t="s">
        <v>1037</v>
      </c>
      <c r="C246" s="13" t="n">
        <f aca="false">IF(A246="","",DATE(VALUE(LEFT(A246,4)),VALUE(MID(A246,5,2)),VALUE(MID(A246,7,2))))</f>
        <v>44532</v>
      </c>
      <c r="D246" s="15" t="s">
        <v>1038</v>
      </c>
      <c r="E246" s="15" t="s">
        <v>1039</v>
      </c>
      <c r="F246" s="12"/>
      <c r="G246" s="16" t="s">
        <v>77</v>
      </c>
      <c r="H246" s="16"/>
      <c r="I246" s="16"/>
      <c r="J246" s="16"/>
      <c r="K246" s="17" t="str">
        <f aca="false">IF(A246="","",_xlfn.TEXTJOIN(",",TRUE(),G246:J246))</f>
        <v>ナチュラル</v>
      </c>
      <c r="L246" s="12"/>
    </row>
    <row r="247" customFormat="false" ht="16.5" hidden="false" customHeight="true" outlineLevel="0" collapsed="false">
      <c r="A247" s="11" t="s">
        <v>1040</v>
      </c>
      <c r="B247" s="12" t="s">
        <v>1041</v>
      </c>
      <c r="C247" s="13" t="n">
        <f aca="false">IF(A247="","",DATE(VALUE(LEFT(A247,4)),VALUE(MID(A247,5,2)),VALUE(MID(A247,7,2))))</f>
        <v>44503</v>
      </c>
      <c r="D247" s="15" t="s">
        <v>1042</v>
      </c>
      <c r="E247" s="15" t="s">
        <v>1043</v>
      </c>
      <c r="F247" s="12"/>
      <c r="G247" s="16" t="s">
        <v>47</v>
      </c>
      <c r="H247" s="16" t="s">
        <v>67</v>
      </c>
      <c r="I247" s="16"/>
      <c r="J247" s="16"/>
      <c r="K247" s="17" t="str">
        <f aca="false">IF(A247="","",_xlfn.TEXTJOIN(",",TRUE(),G247:J247))</f>
        <v>大人っぽい,セクシー</v>
      </c>
      <c r="L247" s="12"/>
    </row>
    <row r="248" customFormat="false" ht="16.5" hidden="false" customHeight="true" outlineLevel="0" collapsed="false">
      <c r="A248" s="11" t="s">
        <v>1044</v>
      </c>
      <c r="B248" s="12" t="s">
        <v>1045</v>
      </c>
      <c r="C248" s="13" t="n">
        <f aca="false">IF(A248="","",DATE(VALUE(LEFT(A248,4)),VALUE(MID(A248,5,2)),VALUE(MID(A248,7,2))))</f>
        <v>44503</v>
      </c>
      <c r="D248" s="15" t="s">
        <v>1046</v>
      </c>
      <c r="E248" s="15" t="s">
        <v>1047</v>
      </c>
      <c r="F248" s="12"/>
      <c r="G248" s="16" t="s">
        <v>72</v>
      </c>
      <c r="H248" s="16" t="s">
        <v>83</v>
      </c>
      <c r="I248" s="16" t="s">
        <v>77</v>
      </c>
      <c r="J248" s="16"/>
      <c r="K248" s="17" t="str">
        <f aca="false">IF(A248="","",_xlfn.TEXTJOIN(",",TRUE(),G248:J248))</f>
        <v>コスプレ,和装,ナチュラル</v>
      </c>
      <c r="L248" s="12"/>
    </row>
    <row r="249" customFormat="false" ht="16.5" hidden="false" customHeight="true" outlineLevel="0" collapsed="false">
      <c r="A249" s="11" t="s">
        <v>1048</v>
      </c>
      <c r="B249" s="12" t="s">
        <v>1049</v>
      </c>
      <c r="C249" s="13" t="n">
        <f aca="false">IF(A249="","",DATE(VALUE(LEFT(A249,4)),VALUE(MID(A249,5,2)),VALUE(MID(A249,7,2))))</f>
        <v>44496</v>
      </c>
      <c r="D249" s="15" t="s">
        <v>1050</v>
      </c>
      <c r="E249" s="15" t="s">
        <v>1051</v>
      </c>
      <c r="F249" s="12"/>
      <c r="G249" s="16" t="s">
        <v>88</v>
      </c>
      <c r="H249" s="16" t="s">
        <v>54</v>
      </c>
      <c r="I249" s="16" t="s">
        <v>115</v>
      </c>
      <c r="J249" s="16"/>
      <c r="K249" s="17" t="str">
        <f aca="false">IF(A249="","",_xlfn.TEXTJOIN(",",TRUE(),G249:J249))</f>
        <v>ゴス・地雷,サブカル,ボーイッシュ</v>
      </c>
      <c r="L249" s="12"/>
    </row>
    <row r="250" customFormat="false" ht="16.5" hidden="false" customHeight="true" outlineLevel="0" collapsed="false">
      <c r="A250" s="11" t="s">
        <v>1052</v>
      </c>
      <c r="B250" s="12" t="s">
        <v>1053</v>
      </c>
      <c r="C250" s="13" t="n">
        <f aca="false">IF(A250="","",DATE(VALUE(LEFT(A250,4)),VALUE(MID(A250,5,2)),VALUE(MID(A250,7,2))))</f>
        <v>44496</v>
      </c>
      <c r="D250" s="15" t="s">
        <v>1054</v>
      </c>
      <c r="E250" s="15" t="s">
        <v>1055</v>
      </c>
      <c r="F250" s="12"/>
      <c r="G250" s="16" t="s">
        <v>145</v>
      </c>
      <c r="H250" s="16"/>
      <c r="I250" s="16"/>
      <c r="J250" s="16"/>
      <c r="K250" s="17" t="str">
        <f aca="false">IF(A250="","",_xlfn.TEXTJOIN(",",TRUE(),G250:J250))</f>
        <v>ギャル</v>
      </c>
      <c r="L250" s="12"/>
    </row>
    <row r="251" customFormat="false" ht="16.5" hidden="false" customHeight="true" outlineLevel="0" collapsed="false">
      <c r="A251" s="11" t="s">
        <v>1056</v>
      </c>
      <c r="B251" s="12" t="s">
        <v>1057</v>
      </c>
      <c r="C251" s="13" t="n">
        <f aca="false">IF(A251="","",DATE(VALUE(LEFT(A251,4)),VALUE(MID(A251,5,2)),VALUE(MID(A251,7,2))))</f>
        <v>44489</v>
      </c>
      <c r="D251" s="15" t="s">
        <v>1058</v>
      </c>
      <c r="E251" s="15" t="s">
        <v>1059</v>
      </c>
      <c r="F251" s="12"/>
      <c r="G251" s="16" t="s">
        <v>52</v>
      </c>
      <c r="H251" s="16"/>
      <c r="I251" s="16"/>
      <c r="J251" s="16"/>
      <c r="K251" s="17" t="str">
        <f aca="false">IF(A251="","",_xlfn.TEXTJOIN(",",TRUE(),G251:J251))</f>
        <v>カジュアル</v>
      </c>
      <c r="L251" s="12"/>
    </row>
    <row r="252" customFormat="false" ht="16.5" hidden="false" customHeight="true" outlineLevel="0" collapsed="false">
      <c r="A252" s="11" t="s">
        <v>1060</v>
      </c>
      <c r="B252" s="12" t="s">
        <v>1061</v>
      </c>
      <c r="C252" s="13" t="n">
        <f aca="false">IF(A252="","",DATE(VALUE(LEFT(A252,4)),VALUE(MID(A252,5,2)),VALUE(MID(A252,7,2))))</f>
        <v>44455</v>
      </c>
      <c r="D252" s="15" t="s">
        <v>1062</v>
      </c>
      <c r="E252" s="15" t="s">
        <v>1063</v>
      </c>
      <c r="F252" s="12"/>
      <c r="G252" s="16" t="s">
        <v>46</v>
      </c>
      <c r="H252" s="16" t="s">
        <v>67</v>
      </c>
      <c r="I252" s="16" t="s">
        <v>53</v>
      </c>
      <c r="J252" s="16"/>
      <c r="K252" s="17" t="str">
        <f aca="false">IF(A252="","",_xlfn.TEXTJOIN(",",TRUE(),G252:J252))</f>
        <v>きれいめ,セクシー,クール</v>
      </c>
      <c r="L252" s="12"/>
    </row>
    <row r="253" customFormat="false" ht="16.5" hidden="false" customHeight="true" outlineLevel="0" collapsed="false">
      <c r="A253" s="11" t="s">
        <v>1064</v>
      </c>
      <c r="B253" s="19" t="s">
        <v>1065</v>
      </c>
      <c r="C253" s="13" t="n">
        <f aca="false">IF(A253="","",DATE(VALUE(LEFT(A253,4)),VALUE(MID(A253,5,2)),VALUE(MID(A253,7,2))))</f>
        <v>44455</v>
      </c>
      <c r="D253" s="15" t="s">
        <v>1066</v>
      </c>
      <c r="E253" s="15" t="s">
        <v>1067</v>
      </c>
      <c r="F253" s="12"/>
      <c r="G253" s="16" t="s">
        <v>67</v>
      </c>
      <c r="H253" s="16" t="s">
        <v>53</v>
      </c>
      <c r="I253" s="16"/>
      <c r="J253" s="16"/>
      <c r="K253" s="17" t="str">
        <f aca="false">IF(A253="","",_xlfn.TEXTJOIN(",",TRUE(),G253:J253))</f>
        <v>セクシー,クール</v>
      </c>
      <c r="L253" s="12"/>
    </row>
    <row r="254" customFormat="false" ht="16.5" hidden="false" customHeight="true" outlineLevel="0" collapsed="false">
      <c r="A254" s="11" t="s">
        <v>1068</v>
      </c>
      <c r="B254" s="12" t="s">
        <v>1069</v>
      </c>
      <c r="C254" s="13" t="n">
        <f aca="false">IF(A254="","",DATE(VALUE(LEFT(A254,4)),VALUE(MID(A254,5,2)),VALUE(MID(A254,7,2))))</f>
        <v>44452</v>
      </c>
      <c r="D254" s="15" t="s">
        <v>1070</v>
      </c>
      <c r="E254" s="15" t="s">
        <v>1071</v>
      </c>
      <c r="F254" s="12"/>
      <c r="G254" s="16" t="s">
        <v>41</v>
      </c>
      <c r="H254" s="16" t="s">
        <v>67</v>
      </c>
      <c r="I254" s="16"/>
      <c r="J254" s="16"/>
      <c r="K254" s="17" t="str">
        <f aca="false">IF(A254="","",_xlfn.TEXTJOIN(",",TRUE(),G254:J254))</f>
        <v>かわいい,セクシー</v>
      </c>
      <c r="L254" s="12"/>
    </row>
    <row r="255" customFormat="false" ht="16.5" hidden="false" customHeight="true" outlineLevel="0" collapsed="false">
      <c r="A255" s="11" t="s">
        <v>1072</v>
      </c>
      <c r="B255" s="12" t="s">
        <v>1073</v>
      </c>
      <c r="C255" s="13" t="n">
        <f aca="false">IF(A255="","",DATE(VALUE(LEFT(A255,4)),VALUE(MID(A255,5,2)),VALUE(MID(A255,7,2))))</f>
        <v>44452</v>
      </c>
      <c r="D255" s="15" t="s">
        <v>1074</v>
      </c>
      <c r="E255" s="15" t="s">
        <v>1075</v>
      </c>
      <c r="F255" s="12"/>
      <c r="G255" s="16" t="s">
        <v>67</v>
      </c>
      <c r="H255" s="16" t="s">
        <v>145</v>
      </c>
      <c r="I255" s="16"/>
      <c r="J255" s="16"/>
      <c r="K255" s="17" t="str">
        <f aca="false">IF(A255="","",_xlfn.TEXTJOIN(",",TRUE(),G255:J255))</f>
        <v>セクシー,ギャル</v>
      </c>
      <c r="L255" s="12"/>
    </row>
    <row r="256" customFormat="false" ht="16.5" hidden="false" customHeight="true" outlineLevel="0" collapsed="false">
      <c r="A256" s="11" t="s">
        <v>1076</v>
      </c>
      <c r="B256" s="12" t="s">
        <v>1077</v>
      </c>
      <c r="C256" s="13" t="n">
        <f aca="false">IF(A256="","",DATE(VALUE(LEFT(A256,4)),VALUE(MID(A256,5,2)),VALUE(MID(A256,7,2))))</f>
        <v>44450</v>
      </c>
      <c r="D256" s="15" t="s">
        <v>1078</v>
      </c>
      <c r="E256" s="15" t="s">
        <v>1079</v>
      </c>
      <c r="F256" s="12"/>
      <c r="G256" s="16" t="s">
        <v>46</v>
      </c>
      <c r="H256" s="16" t="s">
        <v>47</v>
      </c>
      <c r="I256" s="16" t="s">
        <v>53</v>
      </c>
      <c r="J256" s="16" t="s">
        <v>145</v>
      </c>
      <c r="K256" s="17" t="str">
        <f aca="false">IF(A256="","",_xlfn.TEXTJOIN(",",TRUE(),G256:J256))</f>
        <v>きれいめ,大人っぽい,クール,ギャル</v>
      </c>
      <c r="L256" s="12"/>
    </row>
    <row r="257" customFormat="false" ht="16.5" hidden="false" customHeight="true" outlineLevel="0" collapsed="false">
      <c r="A257" s="11" t="s">
        <v>1080</v>
      </c>
      <c r="B257" s="12" t="s">
        <v>1081</v>
      </c>
      <c r="C257" s="13" t="n">
        <f aca="false">IF(A257="","",DATE(VALUE(LEFT(A257,4)),VALUE(MID(A257,5,2)),VALUE(MID(A257,7,2))))</f>
        <v>44449</v>
      </c>
      <c r="D257" s="15" t="s">
        <v>1082</v>
      </c>
      <c r="E257" s="15" t="s">
        <v>1083</v>
      </c>
      <c r="F257" s="12"/>
      <c r="G257" s="16" t="s">
        <v>33</v>
      </c>
      <c r="H257" s="16" t="s">
        <v>34</v>
      </c>
      <c r="I257" s="16"/>
      <c r="J257" s="16"/>
      <c r="K257" s="17" t="str">
        <f aca="false">IF(A257="","",_xlfn.TEXTJOIN(",",TRUE(),G257:J257))</f>
        <v>清楚,フェミニン</v>
      </c>
      <c r="L257" s="12"/>
    </row>
    <row r="258" customFormat="false" ht="16.5" hidden="false" customHeight="true" outlineLevel="0" collapsed="false">
      <c r="A258" s="11" t="s">
        <v>1084</v>
      </c>
      <c r="B258" s="12" t="s">
        <v>1085</v>
      </c>
      <c r="C258" s="13" t="n">
        <f aca="false">IF(A258="","",DATE(VALUE(LEFT(A258,4)),VALUE(MID(A258,5,2)),VALUE(MID(A258,7,2))))</f>
        <v>44447</v>
      </c>
      <c r="D258" s="15" t="s">
        <v>1086</v>
      </c>
      <c r="E258" s="15" t="s">
        <v>1087</v>
      </c>
      <c r="F258" s="12"/>
      <c r="G258" s="16" t="s">
        <v>88</v>
      </c>
      <c r="H258" s="16" t="s">
        <v>54</v>
      </c>
      <c r="I258" s="16" t="s">
        <v>41</v>
      </c>
      <c r="J258" s="16"/>
      <c r="K258" s="17" t="str">
        <f aca="false">IF(A258="","",_xlfn.TEXTJOIN(",",TRUE(),G258:J258))</f>
        <v>ゴス・地雷,サブカル,かわいい</v>
      </c>
      <c r="L258" s="12"/>
    </row>
    <row r="259" customFormat="false" ht="16.5" hidden="false" customHeight="true" outlineLevel="0" collapsed="false">
      <c r="A259" s="11" t="s">
        <v>1088</v>
      </c>
      <c r="B259" s="12" t="s">
        <v>1089</v>
      </c>
      <c r="C259" s="13" t="n">
        <f aca="false">IF(A259="","",DATE(VALUE(LEFT(A259,4)),VALUE(MID(A259,5,2)),VALUE(MID(A259,7,2))))</f>
        <v>44447</v>
      </c>
      <c r="D259" s="15" t="s">
        <v>1090</v>
      </c>
      <c r="E259" s="15" t="s">
        <v>1091</v>
      </c>
      <c r="F259" s="12"/>
      <c r="G259" s="16" t="s">
        <v>145</v>
      </c>
      <c r="H259" s="16" t="s">
        <v>67</v>
      </c>
      <c r="I259" s="16"/>
      <c r="J259" s="16"/>
      <c r="K259" s="17" t="str">
        <f aca="false">IF(A259="","",_xlfn.TEXTJOIN(",",TRUE(),G259:J259))</f>
        <v>ギャル,セクシー</v>
      </c>
      <c r="L259" s="12"/>
    </row>
    <row r="260" customFormat="false" ht="16.5" hidden="false" customHeight="true" outlineLevel="0" collapsed="false">
      <c r="A260" s="11" t="s">
        <v>1092</v>
      </c>
      <c r="B260" s="12" t="s">
        <v>1093</v>
      </c>
      <c r="C260" s="13" t="n">
        <f aca="false">IF(A260="","",DATE(VALUE(LEFT(A260,4)),VALUE(MID(A260,5,2)),VALUE(MID(A260,7,2))))</f>
        <v>44447</v>
      </c>
      <c r="D260" s="15" t="s">
        <v>1094</v>
      </c>
      <c r="E260" s="15" t="s">
        <v>1095</v>
      </c>
      <c r="F260" s="12"/>
      <c r="G260" s="16" t="s">
        <v>46</v>
      </c>
      <c r="H260" s="16" t="s">
        <v>41</v>
      </c>
      <c r="I260" s="16" t="s">
        <v>77</v>
      </c>
      <c r="J260" s="16" t="s">
        <v>35</v>
      </c>
      <c r="K260" s="17" t="str">
        <f aca="false">IF(A260="","",_xlfn.TEXTJOIN(",",TRUE(),G260:J260))</f>
        <v>きれいめ,かわいい,ナチュラル,ガーリー</v>
      </c>
      <c r="L260" s="12"/>
    </row>
    <row r="261" customFormat="false" ht="16.5" hidden="false" customHeight="true" outlineLevel="0" collapsed="false">
      <c r="A261" s="11" t="s">
        <v>1096</v>
      </c>
      <c r="B261" s="12" t="s">
        <v>1097</v>
      </c>
      <c r="C261" s="13" t="n">
        <f aca="false">IF(A261="","",DATE(VALUE(LEFT(A261,4)),VALUE(MID(A261,5,2)),VALUE(MID(A261,7,2))))</f>
        <v>44447</v>
      </c>
      <c r="D261" s="15" t="s">
        <v>1098</v>
      </c>
      <c r="E261" s="15" t="s">
        <v>1099</v>
      </c>
      <c r="F261" s="12"/>
      <c r="G261" s="16" t="s">
        <v>115</v>
      </c>
      <c r="H261" s="16" t="s">
        <v>77</v>
      </c>
      <c r="I261" s="16" t="s">
        <v>83</v>
      </c>
      <c r="J261" s="16"/>
      <c r="K261" s="17" t="str">
        <f aca="false">IF(A261="","",_xlfn.TEXTJOIN(",",TRUE(),G261:J261))</f>
        <v>ボーイッシュ,ナチュラル,和装</v>
      </c>
      <c r="L261" s="12"/>
    </row>
    <row r="262" customFormat="false" ht="16.5" hidden="false" customHeight="true" outlineLevel="0" collapsed="false">
      <c r="A262" s="11" t="s">
        <v>1100</v>
      </c>
      <c r="B262" s="12" t="s">
        <v>1101</v>
      </c>
      <c r="C262" s="13" t="n">
        <f aca="false">IF(A262="","",DATE(VALUE(LEFT(A262,4)),VALUE(MID(A262,5,2)),VALUE(MID(A262,7,2))))</f>
        <v>44447</v>
      </c>
      <c r="D262" s="15" t="s">
        <v>1102</v>
      </c>
      <c r="E262" s="15" t="s">
        <v>1103</v>
      </c>
      <c r="F262" s="12"/>
      <c r="G262" s="16" t="s">
        <v>41</v>
      </c>
      <c r="H262" s="16" t="s">
        <v>54</v>
      </c>
      <c r="I262" s="16" t="s">
        <v>72</v>
      </c>
      <c r="J262" s="16"/>
      <c r="K262" s="17" t="str">
        <f aca="false">IF(A262="","",_xlfn.TEXTJOIN(",",TRUE(),G262:J262))</f>
        <v>かわいい,サブカル,コスプレ</v>
      </c>
      <c r="L262" s="12"/>
    </row>
    <row r="263" customFormat="false" ht="16.5" hidden="false" customHeight="true" outlineLevel="0" collapsed="false">
      <c r="A263" s="11" t="s">
        <v>1104</v>
      </c>
      <c r="B263" s="12" t="s">
        <v>1105</v>
      </c>
      <c r="C263" s="13" t="n">
        <f aca="false">IF(A263="","",DATE(VALUE(LEFT(A263,4)),VALUE(MID(A263,5,2)),VALUE(MID(A263,7,2))))</f>
        <v>44443</v>
      </c>
      <c r="D263" s="15" t="s">
        <v>1106</v>
      </c>
      <c r="E263" s="15" t="s">
        <v>1107</v>
      </c>
      <c r="F263" s="12"/>
      <c r="G263" s="16" t="s">
        <v>145</v>
      </c>
      <c r="H263" s="16" t="s">
        <v>46</v>
      </c>
      <c r="I263" s="16" t="s">
        <v>47</v>
      </c>
      <c r="J263" s="16" t="s">
        <v>67</v>
      </c>
      <c r="K263" s="17" t="str">
        <f aca="false">IF(A263="","",_xlfn.TEXTJOIN(",",TRUE(),G263:J263))</f>
        <v>ギャル,きれいめ,大人っぽい,セクシー</v>
      </c>
      <c r="L263" s="12"/>
    </row>
    <row r="264" customFormat="false" ht="16.5" hidden="false" customHeight="true" outlineLevel="0" collapsed="false">
      <c r="A264" s="11" t="s">
        <v>1108</v>
      </c>
      <c r="B264" s="12" t="s">
        <v>1109</v>
      </c>
      <c r="C264" s="13" t="n">
        <f aca="false">IF(A264="","",DATE(VALUE(LEFT(A264,4)),VALUE(MID(A264,5,2)),VALUE(MID(A264,7,2))))</f>
        <v>44441</v>
      </c>
      <c r="D264" s="15" t="s">
        <v>1110</v>
      </c>
      <c r="E264" s="15" t="s">
        <v>1111</v>
      </c>
      <c r="F264" s="12"/>
      <c r="G264" s="16" t="s">
        <v>54</v>
      </c>
      <c r="H264" s="16" t="s">
        <v>72</v>
      </c>
      <c r="I264" s="16" t="s">
        <v>35</v>
      </c>
      <c r="J264" s="16"/>
      <c r="K264" s="17" t="str">
        <f aca="false">IF(A264="","",_xlfn.TEXTJOIN(",",TRUE(),G264:J264))</f>
        <v>サブカル,コスプレ,ガーリー</v>
      </c>
      <c r="L264" s="12"/>
    </row>
    <row r="265" customFormat="false" ht="16.5" hidden="false" customHeight="true" outlineLevel="0" collapsed="false">
      <c r="A265" s="11" t="s">
        <v>1112</v>
      </c>
      <c r="B265" s="12" t="s">
        <v>1113</v>
      </c>
      <c r="C265" s="13" t="n">
        <f aca="false">IF(A265="","",DATE(VALUE(LEFT(A265,4)),VALUE(MID(A265,5,2)),VALUE(MID(A265,7,2))))</f>
        <v>44441</v>
      </c>
      <c r="D265" s="15" t="s">
        <v>1114</v>
      </c>
      <c r="E265" s="15" t="s">
        <v>1115</v>
      </c>
      <c r="F265" s="12"/>
      <c r="G265" s="16" t="s">
        <v>54</v>
      </c>
      <c r="H265" s="16" t="s">
        <v>88</v>
      </c>
      <c r="I265" s="16" t="s">
        <v>35</v>
      </c>
      <c r="J265" s="16"/>
      <c r="K265" s="17" t="str">
        <f aca="false">IF(A265="","",_xlfn.TEXTJOIN(",",TRUE(),G265:J265))</f>
        <v>サブカル,ゴス・地雷,ガーリー</v>
      </c>
      <c r="L265" s="12"/>
    </row>
    <row r="266" customFormat="false" ht="16.5" hidden="false" customHeight="true" outlineLevel="0" collapsed="false">
      <c r="A266" s="11" t="s">
        <v>1116</v>
      </c>
      <c r="B266" s="12" t="s">
        <v>1117</v>
      </c>
      <c r="C266" s="13" t="n">
        <f aca="false">IF(A266="","",DATE(VALUE(LEFT(A266,4)),VALUE(MID(A266,5,2)),VALUE(MID(A266,7,2))))</f>
        <v>44440</v>
      </c>
      <c r="D266" s="15" t="s">
        <v>1118</v>
      </c>
      <c r="E266" s="15" t="s">
        <v>1119</v>
      </c>
      <c r="F266" s="12"/>
      <c r="G266" s="16" t="s">
        <v>46</v>
      </c>
      <c r="H266" s="16" t="s">
        <v>67</v>
      </c>
      <c r="I266" s="16" t="s">
        <v>53</v>
      </c>
      <c r="J266" s="16"/>
      <c r="K266" s="17" t="str">
        <f aca="false">IF(A266="","",_xlfn.TEXTJOIN(",",TRUE(),G266:J266))</f>
        <v>きれいめ,セクシー,クール</v>
      </c>
      <c r="L266" s="12"/>
    </row>
    <row r="267" customFormat="false" ht="16.5" hidden="false" customHeight="true" outlineLevel="0" collapsed="false">
      <c r="A267" s="11" t="s">
        <v>1120</v>
      </c>
      <c r="B267" s="12" t="s">
        <v>1021</v>
      </c>
      <c r="C267" s="13" t="n">
        <f aca="false">IF(A267="","",DATE(VALUE(LEFT(A267,4)),VALUE(MID(A267,5,2)),VALUE(MID(A267,7,2))))</f>
        <v>44428</v>
      </c>
      <c r="D267" s="15" t="s">
        <v>1121</v>
      </c>
      <c r="E267" s="15" t="s">
        <v>1122</v>
      </c>
      <c r="F267" s="12"/>
      <c r="G267" s="16" t="s">
        <v>67</v>
      </c>
      <c r="H267" s="16"/>
      <c r="I267" s="16"/>
      <c r="J267" s="16"/>
      <c r="K267" s="17" t="str">
        <f aca="false">IF(A267="","",_xlfn.TEXTJOIN(",",TRUE(),G267:J267))</f>
        <v>セクシー</v>
      </c>
      <c r="L267" s="12"/>
    </row>
    <row r="268" customFormat="false" ht="16.5" hidden="false" customHeight="true" outlineLevel="0" collapsed="false">
      <c r="A268" s="11" t="s">
        <v>1123</v>
      </c>
      <c r="B268" s="12" t="s">
        <v>1124</v>
      </c>
      <c r="C268" s="13" t="n">
        <f aca="false">IF(A268="","",DATE(VALUE(LEFT(A268,4)),VALUE(MID(A268,5,2)),VALUE(MID(A268,7,2))))</f>
        <v>44412</v>
      </c>
      <c r="D268" s="15" t="s">
        <v>1125</v>
      </c>
      <c r="E268" s="15" t="s">
        <v>1126</v>
      </c>
      <c r="F268" s="12"/>
      <c r="G268" s="16" t="s">
        <v>35</v>
      </c>
      <c r="H268" s="16" t="s">
        <v>88</v>
      </c>
      <c r="I268" s="16"/>
      <c r="J268" s="16"/>
      <c r="K268" s="17" t="str">
        <f aca="false">IF(A268="","",_xlfn.TEXTJOIN(",",TRUE(),G268:J268))</f>
        <v>ガーリー,ゴス・地雷</v>
      </c>
      <c r="L268" s="12"/>
    </row>
    <row r="269" customFormat="false" ht="16.5" hidden="false" customHeight="true" outlineLevel="0" collapsed="false">
      <c r="A269" s="11" t="s">
        <v>1127</v>
      </c>
      <c r="B269" s="12" t="s">
        <v>1128</v>
      </c>
      <c r="C269" s="13" t="n">
        <f aca="false">IF(A269="","",DATE(VALUE(LEFT(A269,4)),VALUE(MID(A269,5,2)),VALUE(MID(A269,7,2))))</f>
        <v>44402</v>
      </c>
      <c r="D269" s="15" t="s">
        <v>1129</v>
      </c>
      <c r="E269" s="15" t="s">
        <v>1130</v>
      </c>
      <c r="F269" s="12"/>
      <c r="G269" s="16" t="s">
        <v>54</v>
      </c>
      <c r="H269" s="16" t="s">
        <v>35</v>
      </c>
      <c r="I269" s="16"/>
      <c r="J269" s="16"/>
      <c r="K269" s="17" t="str">
        <f aca="false">IF(A269="","",_xlfn.TEXTJOIN(",",TRUE(),G269:J269))</f>
        <v>サブカル,ガーリー</v>
      </c>
      <c r="L269" s="12"/>
    </row>
    <row r="270" customFormat="false" ht="16.5" hidden="false" customHeight="true" outlineLevel="0" collapsed="false">
      <c r="A270" s="11" t="s">
        <v>1131</v>
      </c>
      <c r="B270" s="12" t="s">
        <v>1021</v>
      </c>
      <c r="C270" s="13" t="n">
        <f aca="false">IF(A270="","",DATE(VALUE(LEFT(A270,4)),VALUE(MID(A270,5,2)),VALUE(MID(A270,7,2))))</f>
        <v>44398</v>
      </c>
      <c r="D270" s="15" t="s">
        <v>1132</v>
      </c>
      <c r="E270" s="15" t="s">
        <v>1133</v>
      </c>
      <c r="F270" s="12"/>
      <c r="G270" s="16" t="s">
        <v>47</v>
      </c>
      <c r="H270" s="16" t="s">
        <v>67</v>
      </c>
      <c r="I270" s="16"/>
      <c r="J270" s="16"/>
      <c r="K270" s="17" t="str">
        <f aca="false">IF(A270="","",_xlfn.TEXTJOIN(",",TRUE(),G270:J270))</f>
        <v>大人っぽい,セクシー</v>
      </c>
      <c r="L270" s="12"/>
    </row>
    <row r="271" customFormat="false" ht="16.5" hidden="false" customHeight="true" outlineLevel="0" collapsed="false">
      <c r="A271" s="11" t="s">
        <v>1134</v>
      </c>
      <c r="B271" s="12" t="s">
        <v>1135</v>
      </c>
      <c r="C271" s="13" t="n">
        <f aca="false">IF(A271="","",DATE(VALUE(LEFT(A271,4)),VALUE(MID(A271,5,2)),VALUE(MID(A271,7,2))))</f>
        <v>44379</v>
      </c>
      <c r="D271" s="15" t="s">
        <v>1136</v>
      </c>
      <c r="E271" s="15" t="s">
        <v>1137</v>
      </c>
      <c r="F271" s="12"/>
      <c r="G271" s="16" t="s">
        <v>72</v>
      </c>
      <c r="H271" s="16"/>
      <c r="I271" s="16"/>
      <c r="J271" s="16"/>
      <c r="K271" s="17" t="str">
        <f aca="false">IF(A271="","",_xlfn.TEXTJOIN(",",TRUE(),G271:J271))</f>
        <v>コスプレ</v>
      </c>
      <c r="L271" s="12"/>
    </row>
    <row r="272" customFormat="false" ht="16.5" hidden="false" customHeight="true" outlineLevel="0" collapsed="false">
      <c r="A272" s="11" t="s">
        <v>1138</v>
      </c>
      <c r="B272" s="12" t="s">
        <v>1139</v>
      </c>
      <c r="C272" s="13" t="n">
        <f aca="false">IF(A272="","",DATE(VALUE(LEFT(A272,4)),VALUE(MID(A272,5,2)),VALUE(MID(A272,7,2))))</f>
        <v>44370</v>
      </c>
      <c r="D272" s="15" t="s">
        <v>1140</v>
      </c>
      <c r="E272" s="15" t="s">
        <v>1141</v>
      </c>
      <c r="F272" s="12"/>
      <c r="G272" s="16" t="s">
        <v>47</v>
      </c>
      <c r="H272" s="16" t="s">
        <v>77</v>
      </c>
      <c r="I272" s="16"/>
      <c r="J272" s="16"/>
      <c r="K272" s="17" t="str">
        <f aca="false">IF(A272="","",_xlfn.TEXTJOIN(",",TRUE(),G272:J272))</f>
        <v>大人っぽい,ナチュラル</v>
      </c>
      <c r="L272" s="12"/>
    </row>
    <row r="273" customFormat="false" ht="16.5" hidden="false" customHeight="true" outlineLevel="0" collapsed="false">
      <c r="A273" s="11" t="s">
        <v>1142</v>
      </c>
      <c r="B273" s="12" t="s">
        <v>1143</v>
      </c>
      <c r="C273" s="13" t="n">
        <f aca="false">IF(A273="","",DATE(VALUE(LEFT(A273,4)),VALUE(MID(A273,5,2)),VALUE(MID(A273,7,2))))</f>
        <v>44360</v>
      </c>
      <c r="D273" s="15" t="s">
        <v>1144</v>
      </c>
      <c r="E273" s="15" t="s">
        <v>1145</v>
      </c>
      <c r="F273" s="12"/>
      <c r="G273" s="16" t="s">
        <v>41</v>
      </c>
      <c r="H273" s="16" t="s">
        <v>35</v>
      </c>
      <c r="I273" s="16"/>
      <c r="J273" s="16"/>
      <c r="K273" s="17" t="str">
        <f aca="false">IF(A273="","",_xlfn.TEXTJOIN(",",TRUE(),G273:J273))</f>
        <v>かわいい,ガーリー</v>
      </c>
      <c r="L273" s="12"/>
    </row>
    <row r="274" customFormat="false" ht="16.5" hidden="false" customHeight="true" outlineLevel="0" collapsed="false">
      <c r="A274" s="11" t="s">
        <v>1146</v>
      </c>
      <c r="B274" s="12" t="s">
        <v>1147</v>
      </c>
      <c r="C274" s="13" t="n">
        <f aca="false">IF(A274="","",DATE(VALUE(LEFT(A274,4)),VALUE(MID(A274,5,2)),VALUE(MID(A274,7,2))))</f>
        <v>44328</v>
      </c>
      <c r="D274" s="15" t="s">
        <v>1148</v>
      </c>
      <c r="E274" s="15" t="s">
        <v>1149</v>
      </c>
      <c r="F274" s="12"/>
      <c r="G274" s="16" t="s">
        <v>72</v>
      </c>
      <c r="H274" s="16" t="s">
        <v>77</v>
      </c>
      <c r="I274" s="16" t="s">
        <v>41</v>
      </c>
      <c r="J274" s="16"/>
      <c r="K274" s="17" t="str">
        <f aca="false">IF(A274="","",_xlfn.TEXTJOIN(",",TRUE(),G274:J274))</f>
        <v>コスプレ,ナチュラル,かわいい</v>
      </c>
      <c r="L274" s="12"/>
    </row>
    <row r="275" customFormat="false" ht="16.5" hidden="false" customHeight="true" outlineLevel="0" collapsed="false">
      <c r="A275" s="11"/>
      <c r="B275" s="12"/>
      <c r="C275" s="13" t="str">
        <f aca="false">IF(A275="","",DATE(VALUE(LEFT(A275,4)),VALUE(MID(A275,5,2)),VALUE(MID(A275,7,2))))</f>
        <v/>
      </c>
      <c r="D275" s="12"/>
      <c r="E275" s="12"/>
      <c r="F275" s="12"/>
      <c r="G275" s="16"/>
      <c r="H275" s="16"/>
      <c r="I275" s="16"/>
      <c r="J275" s="16"/>
      <c r="K275" s="17" t="str">
        <f aca="false">IF(A275="","",_xlfn.TEXTJOIN(",",TRUE(),G275:J275))</f>
        <v/>
      </c>
      <c r="L275" s="12"/>
    </row>
    <row r="276" customFormat="false" ht="16.5" hidden="false" customHeight="true" outlineLevel="0" collapsed="false">
      <c r="A276" s="11"/>
      <c r="B276" s="12"/>
      <c r="C276" s="13" t="str">
        <f aca="false">IF(A276="","",DATE(VALUE(LEFT(A276,4)),VALUE(MID(A276,5,2)),VALUE(MID(A276,7,2))))</f>
        <v/>
      </c>
      <c r="D276" s="12"/>
      <c r="E276" s="12"/>
      <c r="F276" s="12"/>
      <c r="G276" s="16"/>
      <c r="H276" s="16"/>
      <c r="I276" s="16"/>
      <c r="J276" s="16"/>
      <c r="K276" s="17" t="str">
        <f aca="false">IF(A276="","",_xlfn.TEXTJOIN(",",TRUE(),G276:J276))</f>
        <v/>
      </c>
      <c r="L276" s="12"/>
    </row>
    <row r="277" customFormat="false" ht="16.5" hidden="false" customHeight="true" outlineLevel="0" collapsed="false">
      <c r="A277" s="11"/>
      <c r="B277" s="12"/>
      <c r="C277" s="13" t="str">
        <f aca="false">IF(A277="","",DATE(VALUE(LEFT(A277,4)),VALUE(MID(A277,5,2)),VALUE(MID(A277,7,2))))</f>
        <v/>
      </c>
      <c r="D277" s="12"/>
      <c r="E277" s="12"/>
      <c r="F277" s="12"/>
      <c r="G277" s="16"/>
      <c r="H277" s="16"/>
      <c r="I277" s="16"/>
      <c r="J277" s="16"/>
      <c r="K277" s="17" t="str">
        <f aca="false">IF(A277="","",_xlfn.TEXTJOIN(",",TRUE(),G277:J277))</f>
        <v/>
      </c>
      <c r="L277" s="12"/>
    </row>
    <row r="278" customFormat="false" ht="16.5" hidden="false" customHeight="true" outlineLevel="0" collapsed="false">
      <c r="A278" s="11"/>
      <c r="B278" s="12"/>
      <c r="C278" s="13" t="str">
        <f aca="false">IF(A278="","",DATE(VALUE(LEFT(A278,4)),VALUE(MID(A278,5,2)),VALUE(MID(A278,7,2))))</f>
        <v/>
      </c>
      <c r="D278" s="12"/>
      <c r="E278" s="12"/>
      <c r="F278" s="12"/>
      <c r="G278" s="16"/>
      <c r="H278" s="16"/>
      <c r="I278" s="16"/>
      <c r="J278" s="16"/>
      <c r="K278" s="17" t="str">
        <f aca="false">IF(A278="","",_xlfn.TEXTJOIN(",",TRUE(),G278:J278))</f>
        <v/>
      </c>
      <c r="L278" s="12"/>
    </row>
    <row r="279" customFormat="false" ht="16.5" hidden="false" customHeight="true" outlineLevel="0" collapsed="false">
      <c r="A279" s="11"/>
      <c r="B279" s="12"/>
      <c r="C279" s="13" t="str">
        <f aca="false">IF(A279="","",DATE(VALUE(LEFT(A279,4)),VALUE(MID(A279,5,2)),VALUE(MID(A279,7,2))))</f>
        <v/>
      </c>
      <c r="D279" s="12"/>
      <c r="E279" s="12"/>
      <c r="F279" s="12"/>
      <c r="G279" s="16"/>
      <c r="H279" s="16"/>
      <c r="I279" s="16"/>
      <c r="J279" s="16"/>
      <c r="K279" s="17" t="str">
        <f aca="false">IF(A279="","",_xlfn.TEXTJOIN(",",TRUE(),G279:J279))</f>
        <v/>
      </c>
      <c r="L279" s="12"/>
    </row>
    <row r="280" customFormat="false" ht="16.5" hidden="false" customHeight="true" outlineLevel="0" collapsed="false">
      <c r="A280" s="11"/>
      <c r="B280" s="12"/>
      <c r="C280" s="13" t="str">
        <f aca="false">IF(A280="","",DATE(VALUE(LEFT(A280,4)),VALUE(MID(A280,5,2)),VALUE(MID(A280,7,2))))</f>
        <v/>
      </c>
      <c r="D280" s="12"/>
      <c r="E280" s="12"/>
      <c r="F280" s="12"/>
      <c r="G280" s="16"/>
      <c r="H280" s="16"/>
      <c r="I280" s="16"/>
      <c r="J280" s="16"/>
      <c r="K280" s="17" t="str">
        <f aca="false">IF(A280="","",_xlfn.TEXTJOIN(",",TRUE(),G280:J280))</f>
        <v/>
      </c>
      <c r="L280" s="12"/>
    </row>
    <row r="281" customFormat="false" ht="16.5" hidden="false" customHeight="true" outlineLevel="0" collapsed="false">
      <c r="A281" s="11"/>
      <c r="B281" s="12"/>
      <c r="C281" s="13" t="str">
        <f aca="false">IF(A281="","",DATE(VALUE(LEFT(A281,4)),VALUE(MID(A281,5,2)),VALUE(MID(A281,7,2))))</f>
        <v/>
      </c>
      <c r="D281" s="12"/>
      <c r="E281" s="12"/>
      <c r="F281" s="12"/>
      <c r="G281" s="16"/>
      <c r="H281" s="16"/>
      <c r="I281" s="16"/>
      <c r="J281" s="16"/>
      <c r="K281" s="17" t="str">
        <f aca="false">IF(A281="","",_xlfn.TEXTJOIN(",",TRUE(),G281:J281))</f>
        <v/>
      </c>
      <c r="L281" s="12"/>
    </row>
    <row r="282" customFormat="false" ht="16.5" hidden="false" customHeight="true" outlineLevel="0" collapsed="false">
      <c r="A282" s="11"/>
      <c r="B282" s="12"/>
      <c r="C282" s="13" t="str">
        <f aca="false">IF(A282="","",DATE(VALUE(LEFT(A282,4)),VALUE(MID(A282,5,2)),VALUE(MID(A282,7,2))))</f>
        <v/>
      </c>
      <c r="D282" s="12"/>
      <c r="E282" s="12"/>
      <c r="F282" s="12"/>
      <c r="G282" s="16"/>
      <c r="H282" s="16"/>
      <c r="I282" s="16"/>
      <c r="J282" s="16"/>
      <c r="K282" s="17" t="str">
        <f aca="false">IF(A282="","",_xlfn.TEXTJOIN(",",TRUE(),G282:J282))</f>
        <v/>
      </c>
      <c r="L282" s="12"/>
    </row>
    <row r="283" customFormat="false" ht="16.5" hidden="false" customHeight="true" outlineLevel="0" collapsed="false">
      <c r="A283" s="11"/>
      <c r="B283" s="12"/>
      <c r="C283" s="13" t="str">
        <f aca="false">IF(A283="","",DATE(VALUE(LEFT(A283,4)),VALUE(MID(A283,5,2)),VALUE(MID(A283,7,2))))</f>
        <v/>
      </c>
      <c r="D283" s="12"/>
      <c r="E283" s="12"/>
      <c r="F283" s="12"/>
      <c r="G283" s="16"/>
      <c r="H283" s="16"/>
      <c r="I283" s="16"/>
      <c r="J283" s="16"/>
      <c r="K283" s="17" t="str">
        <f aca="false">IF(A283="","",_xlfn.TEXTJOIN(",",TRUE(),G283:J283))</f>
        <v/>
      </c>
      <c r="L283" s="12"/>
    </row>
    <row r="284" customFormat="false" ht="16.5" hidden="false" customHeight="true" outlineLevel="0" collapsed="false">
      <c r="A284" s="11"/>
      <c r="B284" s="12"/>
      <c r="C284" s="13" t="str">
        <f aca="false">IF(A284="","",DATE(VALUE(LEFT(A284,4)),VALUE(MID(A284,5,2)),VALUE(MID(A284,7,2))))</f>
        <v/>
      </c>
      <c r="D284" s="12"/>
      <c r="E284" s="12"/>
      <c r="F284" s="12"/>
      <c r="G284" s="16"/>
      <c r="H284" s="16"/>
      <c r="I284" s="16"/>
      <c r="J284" s="16"/>
      <c r="K284" s="17" t="str">
        <f aca="false">IF(A284="","",_xlfn.TEXTJOIN(",",TRUE(),G284:J284))</f>
        <v/>
      </c>
      <c r="L284" s="12"/>
    </row>
    <row r="285" customFormat="false" ht="16.5" hidden="false" customHeight="true" outlineLevel="0" collapsed="false">
      <c r="A285" s="11"/>
      <c r="B285" s="12"/>
      <c r="C285" s="13" t="str">
        <f aca="false">IF(A285="","",DATE(VALUE(LEFT(A285,4)),VALUE(MID(A285,5,2)),VALUE(MID(A285,7,2))))</f>
        <v/>
      </c>
      <c r="D285" s="12"/>
      <c r="E285" s="12"/>
      <c r="F285" s="12"/>
      <c r="G285" s="16"/>
      <c r="H285" s="16"/>
      <c r="I285" s="16"/>
      <c r="J285" s="16"/>
      <c r="K285" s="17" t="str">
        <f aca="false">IF(A285="","",_xlfn.TEXTJOIN(",",TRUE(),G285:J285))</f>
        <v/>
      </c>
      <c r="L285" s="12"/>
    </row>
    <row r="286" customFormat="false" ht="16.5" hidden="false" customHeight="true" outlineLevel="0" collapsed="false">
      <c r="A286" s="11"/>
      <c r="B286" s="12"/>
      <c r="C286" s="13" t="str">
        <f aca="false">IF(A286="","",DATE(VALUE(LEFT(A286,4)),VALUE(MID(A286,5,2)),VALUE(MID(A286,7,2))))</f>
        <v/>
      </c>
      <c r="D286" s="12"/>
      <c r="E286" s="12"/>
      <c r="F286" s="12"/>
      <c r="G286" s="16"/>
      <c r="H286" s="16"/>
      <c r="I286" s="16"/>
      <c r="J286" s="16"/>
      <c r="K286" s="17" t="str">
        <f aca="false">IF(A286="","",_xlfn.TEXTJOIN(",",TRUE(),G286:J286))</f>
        <v/>
      </c>
      <c r="L286" s="12"/>
    </row>
    <row r="287" customFormat="false" ht="16.5" hidden="false" customHeight="true" outlineLevel="0" collapsed="false">
      <c r="A287" s="11"/>
      <c r="B287" s="12"/>
      <c r="C287" s="13" t="str">
        <f aca="false">IF(A287="","",DATE(VALUE(LEFT(A287,4)),VALUE(MID(A287,5,2)),VALUE(MID(A287,7,2))))</f>
        <v/>
      </c>
      <c r="D287" s="12"/>
      <c r="E287" s="12"/>
      <c r="F287" s="12"/>
      <c r="G287" s="16"/>
      <c r="H287" s="16"/>
      <c r="I287" s="16"/>
      <c r="J287" s="16"/>
      <c r="K287" s="17" t="str">
        <f aca="false">IF(A287="","",_xlfn.TEXTJOIN(",",TRUE(),G287:J287))</f>
        <v/>
      </c>
      <c r="L287" s="12"/>
    </row>
    <row r="288" customFormat="false" ht="16.5" hidden="false" customHeight="true" outlineLevel="0" collapsed="false">
      <c r="A288" s="11"/>
      <c r="B288" s="12"/>
      <c r="C288" s="13" t="str">
        <f aca="false">IF(A288="","",DATE(VALUE(LEFT(A288,4)),VALUE(MID(A288,5,2)),VALUE(MID(A288,7,2))))</f>
        <v/>
      </c>
      <c r="D288" s="12"/>
      <c r="E288" s="12"/>
      <c r="F288" s="12"/>
      <c r="G288" s="16"/>
      <c r="H288" s="16"/>
      <c r="I288" s="16"/>
      <c r="J288" s="16"/>
      <c r="K288" s="17" t="str">
        <f aca="false">IF(A288="","",_xlfn.TEXTJOIN(",",TRUE(),G288:J288))</f>
        <v/>
      </c>
      <c r="L288" s="12"/>
    </row>
    <row r="289" customFormat="false" ht="16.5" hidden="false" customHeight="true" outlineLevel="0" collapsed="false">
      <c r="A289" s="11"/>
      <c r="B289" s="12"/>
      <c r="C289" s="13" t="str">
        <f aca="false">IF(A289="","",DATE(VALUE(LEFT(A289,4)),VALUE(MID(A289,5,2)),VALUE(MID(A289,7,2))))</f>
        <v/>
      </c>
      <c r="D289" s="12"/>
      <c r="E289" s="12"/>
      <c r="F289" s="12"/>
      <c r="G289" s="16"/>
      <c r="H289" s="16"/>
      <c r="I289" s="16"/>
      <c r="J289" s="16"/>
      <c r="K289" s="17" t="str">
        <f aca="false">IF(A289="","",_xlfn.TEXTJOIN(",",TRUE(),G289:J289))</f>
        <v/>
      </c>
      <c r="L289" s="12"/>
    </row>
    <row r="290" customFormat="false" ht="16.5" hidden="false" customHeight="true" outlineLevel="0" collapsed="false">
      <c r="A290" s="11"/>
      <c r="B290" s="12"/>
      <c r="C290" s="13" t="str">
        <f aca="false">IF(A290="","",DATE(VALUE(LEFT(A290,4)),VALUE(MID(A290,5,2)),VALUE(MID(A290,7,2))))</f>
        <v/>
      </c>
      <c r="D290" s="12"/>
      <c r="E290" s="12"/>
      <c r="F290" s="12"/>
      <c r="G290" s="16"/>
      <c r="H290" s="16"/>
      <c r="I290" s="16"/>
      <c r="J290" s="16"/>
      <c r="K290" s="17" t="str">
        <f aca="false">IF(A290="","",_xlfn.TEXTJOIN(",",TRUE(),G290:J290))</f>
        <v/>
      </c>
      <c r="L290" s="12"/>
    </row>
    <row r="291" customFormat="false" ht="16.5" hidden="false" customHeight="true" outlineLevel="0" collapsed="false">
      <c r="A291" s="11"/>
      <c r="B291" s="12"/>
      <c r="C291" s="13" t="str">
        <f aca="false">IF(A291="","",DATE(VALUE(LEFT(A291,4)),VALUE(MID(A291,5,2)),VALUE(MID(A291,7,2))))</f>
        <v/>
      </c>
      <c r="D291" s="12"/>
      <c r="E291" s="12"/>
      <c r="F291" s="12"/>
      <c r="G291" s="16"/>
      <c r="H291" s="16"/>
      <c r="I291" s="16"/>
      <c r="J291" s="16"/>
      <c r="K291" s="17" t="str">
        <f aca="false">IF(A291="","",_xlfn.TEXTJOIN(",",TRUE(),G291:J291))</f>
        <v/>
      </c>
      <c r="L291" s="12"/>
    </row>
    <row r="292" customFormat="false" ht="16.5" hidden="false" customHeight="true" outlineLevel="0" collapsed="false">
      <c r="A292" s="11"/>
      <c r="B292" s="12"/>
      <c r="C292" s="13" t="str">
        <f aca="false">IF(A292="","",DATE(VALUE(LEFT(A292,4)),VALUE(MID(A292,5,2)),VALUE(MID(A292,7,2))))</f>
        <v/>
      </c>
      <c r="D292" s="12"/>
      <c r="E292" s="12"/>
      <c r="F292" s="12"/>
      <c r="G292" s="16"/>
      <c r="H292" s="16"/>
      <c r="I292" s="16"/>
      <c r="J292" s="16"/>
      <c r="K292" s="17" t="str">
        <f aca="false">IF(A292="","",_xlfn.TEXTJOIN(",",TRUE(),G292:J292))</f>
        <v/>
      </c>
      <c r="L292" s="12"/>
    </row>
    <row r="293" customFormat="false" ht="16.5" hidden="false" customHeight="true" outlineLevel="0" collapsed="false">
      <c r="A293" s="11"/>
      <c r="B293" s="12"/>
      <c r="C293" s="13" t="str">
        <f aca="false">IF(A293="","",DATE(VALUE(LEFT(A293,4)),VALUE(MID(A293,5,2)),VALUE(MID(A293,7,2))))</f>
        <v/>
      </c>
      <c r="D293" s="12"/>
      <c r="E293" s="12"/>
      <c r="F293" s="12"/>
      <c r="G293" s="16"/>
      <c r="H293" s="16"/>
      <c r="I293" s="16"/>
      <c r="J293" s="16"/>
      <c r="K293" s="17" t="str">
        <f aca="false">IF(A293="","",_xlfn.TEXTJOIN(",",TRUE(),G293:J293))</f>
        <v/>
      </c>
      <c r="L293" s="12"/>
    </row>
    <row r="294" customFormat="false" ht="16.5" hidden="false" customHeight="true" outlineLevel="0" collapsed="false">
      <c r="A294" s="11"/>
      <c r="B294" s="12"/>
      <c r="C294" s="13" t="str">
        <f aca="false">IF(A294="","",DATE(VALUE(LEFT(A294,4)),VALUE(MID(A294,5,2)),VALUE(MID(A294,7,2))))</f>
        <v/>
      </c>
      <c r="D294" s="12"/>
      <c r="E294" s="12"/>
      <c r="F294" s="12"/>
      <c r="G294" s="16"/>
      <c r="H294" s="16"/>
      <c r="I294" s="16"/>
      <c r="J294" s="16"/>
      <c r="K294" s="17" t="str">
        <f aca="false">IF(A294="","",_xlfn.TEXTJOIN(",",TRUE(),G294:J294))</f>
        <v/>
      </c>
      <c r="L294" s="12"/>
    </row>
    <row r="295" customFormat="false" ht="16.5" hidden="false" customHeight="true" outlineLevel="0" collapsed="false">
      <c r="A295" s="11"/>
      <c r="B295" s="12"/>
      <c r="C295" s="13" t="str">
        <f aca="false">IF(A295="","",DATE(VALUE(LEFT(A295,4)),VALUE(MID(A295,5,2)),VALUE(MID(A295,7,2))))</f>
        <v/>
      </c>
      <c r="D295" s="12"/>
      <c r="E295" s="12"/>
      <c r="F295" s="12"/>
      <c r="G295" s="16"/>
      <c r="H295" s="16"/>
      <c r="I295" s="16"/>
      <c r="J295" s="16"/>
      <c r="K295" s="17" t="str">
        <f aca="false">IF(A295="","",_xlfn.TEXTJOIN(",",TRUE(),G295:J295))</f>
        <v/>
      </c>
      <c r="L295" s="12"/>
    </row>
    <row r="296" customFormat="false" ht="16.5" hidden="false" customHeight="true" outlineLevel="0" collapsed="false">
      <c r="A296" s="11"/>
      <c r="B296" s="12"/>
      <c r="C296" s="13" t="str">
        <f aca="false">IF(A296="","",DATE(VALUE(LEFT(A296,4)),VALUE(MID(A296,5,2)),VALUE(MID(A296,7,2))))</f>
        <v/>
      </c>
      <c r="D296" s="12"/>
      <c r="E296" s="12"/>
      <c r="F296" s="12"/>
      <c r="G296" s="16"/>
      <c r="H296" s="16"/>
      <c r="I296" s="16"/>
      <c r="J296" s="16"/>
      <c r="K296" s="17" t="str">
        <f aca="false">IF(A296="","",_xlfn.TEXTJOIN(",",TRUE(),G296:J296))</f>
        <v/>
      </c>
      <c r="L296" s="12"/>
    </row>
    <row r="297" customFormat="false" ht="16.5" hidden="false" customHeight="true" outlineLevel="0" collapsed="false">
      <c r="A297" s="11"/>
      <c r="B297" s="12"/>
      <c r="C297" s="13" t="str">
        <f aca="false">IF(A297="","",DATE(VALUE(LEFT(A297,4)),VALUE(MID(A297,5,2)),VALUE(MID(A297,7,2))))</f>
        <v/>
      </c>
      <c r="D297" s="12"/>
      <c r="E297" s="12"/>
      <c r="F297" s="12"/>
      <c r="G297" s="16"/>
      <c r="H297" s="16"/>
      <c r="I297" s="16"/>
      <c r="J297" s="16"/>
      <c r="K297" s="17" t="str">
        <f aca="false">IF(A297="","",_xlfn.TEXTJOIN(",",TRUE(),G297:J297))</f>
        <v/>
      </c>
      <c r="L297" s="12"/>
    </row>
    <row r="298" customFormat="false" ht="16.5" hidden="false" customHeight="true" outlineLevel="0" collapsed="false">
      <c r="A298" s="11"/>
      <c r="B298" s="12"/>
      <c r="C298" s="13" t="str">
        <f aca="false">IF(A298="","",DATE(VALUE(LEFT(A298,4)),VALUE(MID(A298,5,2)),VALUE(MID(A298,7,2))))</f>
        <v/>
      </c>
      <c r="D298" s="12"/>
      <c r="E298" s="12"/>
      <c r="F298" s="12"/>
      <c r="G298" s="16"/>
      <c r="H298" s="16"/>
      <c r="I298" s="16"/>
      <c r="J298" s="16"/>
      <c r="K298" s="17" t="str">
        <f aca="false">IF(A298="","",_xlfn.TEXTJOIN(",",TRUE(),G298:J298))</f>
        <v/>
      </c>
      <c r="L298" s="12"/>
    </row>
    <row r="299" customFormat="false" ht="16.5" hidden="false" customHeight="true" outlineLevel="0" collapsed="false">
      <c r="A299" s="11"/>
      <c r="B299" s="12"/>
      <c r="C299" s="13" t="str">
        <f aca="false">IF(A299="","",DATE(VALUE(LEFT(A299,4)),VALUE(MID(A299,5,2)),VALUE(MID(A299,7,2))))</f>
        <v/>
      </c>
      <c r="D299" s="12"/>
      <c r="E299" s="12"/>
      <c r="F299" s="12"/>
      <c r="G299" s="16"/>
      <c r="H299" s="16"/>
      <c r="I299" s="16"/>
      <c r="J299" s="16"/>
      <c r="K299" s="17" t="str">
        <f aca="false">IF(A299="","",_xlfn.TEXTJOIN(",",TRUE(),G299:J299))</f>
        <v/>
      </c>
      <c r="L299" s="12"/>
    </row>
    <row r="300" customFormat="false" ht="16.5" hidden="false" customHeight="true" outlineLevel="0" collapsed="false">
      <c r="A300" s="11"/>
      <c r="B300" s="12"/>
      <c r="C300" s="13" t="str">
        <f aca="false">IF(A300="","",DATE(VALUE(LEFT(A300,4)),VALUE(MID(A300,5,2)),VALUE(MID(A300,7,2))))</f>
        <v/>
      </c>
      <c r="D300" s="12"/>
      <c r="E300" s="12"/>
      <c r="F300" s="12"/>
      <c r="G300" s="16"/>
      <c r="H300" s="16"/>
      <c r="I300" s="16"/>
      <c r="J300" s="16"/>
      <c r="K300" s="17" t="str">
        <f aca="false">IF(A300="","",_xlfn.TEXTJOIN(",",TRUE(),G300:J300))</f>
        <v/>
      </c>
      <c r="L300" s="12"/>
    </row>
    <row r="301" customFormat="false" ht="16.5" hidden="false" customHeight="true" outlineLevel="0" collapsed="false">
      <c r="A301" s="11"/>
      <c r="B301" s="12"/>
      <c r="C301" s="13" t="str">
        <f aca="false">IF(A301="","",DATE(VALUE(LEFT(A301,4)),VALUE(MID(A301,5,2)),VALUE(MID(A301,7,2))))</f>
        <v/>
      </c>
      <c r="D301" s="12"/>
      <c r="E301" s="12"/>
      <c r="F301" s="12"/>
      <c r="G301" s="16"/>
      <c r="H301" s="16"/>
      <c r="I301" s="16"/>
      <c r="J301" s="16"/>
      <c r="K301" s="17" t="str">
        <f aca="false">IF(A301="","",_xlfn.TEXTJOIN(",",TRUE(),G301:J301))</f>
        <v/>
      </c>
      <c r="L301" s="12"/>
    </row>
    <row r="302" customFormat="false" ht="16.5" hidden="false" customHeight="true" outlineLevel="0" collapsed="false">
      <c r="A302" s="11"/>
      <c r="B302" s="12"/>
      <c r="C302" s="13" t="str">
        <f aca="false">IF(A302="","",DATE(VALUE(LEFT(A302,4)),VALUE(MID(A302,5,2)),VALUE(MID(A302,7,2))))</f>
        <v/>
      </c>
      <c r="D302" s="12"/>
      <c r="E302" s="12"/>
      <c r="F302" s="12"/>
      <c r="G302" s="16"/>
      <c r="H302" s="16"/>
      <c r="I302" s="16"/>
      <c r="J302" s="16"/>
      <c r="K302" s="17" t="str">
        <f aca="false">IF(A302="","",_xlfn.TEXTJOIN(",",TRUE(),G302:J302))</f>
        <v/>
      </c>
      <c r="L302" s="12"/>
    </row>
    <row r="303" customFormat="false" ht="16.5" hidden="false" customHeight="true" outlineLevel="0" collapsed="false">
      <c r="A303" s="11"/>
      <c r="B303" s="12"/>
      <c r="C303" s="13" t="str">
        <f aca="false">IF(A303="","",DATE(VALUE(LEFT(A303,4)),VALUE(MID(A303,5,2)),VALUE(MID(A303,7,2))))</f>
        <v/>
      </c>
      <c r="D303" s="12"/>
      <c r="E303" s="12"/>
      <c r="F303" s="12"/>
      <c r="G303" s="16"/>
      <c r="H303" s="16"/>
      <c r="I303" s="16"/>
      <c r="J303" s="16"/>
      <c r="K303" s="17" t="str">
        <f aca="false">IF(A303="","",_xlfn.TEXTJOIN(",",TRUE(),G303:J303))</f>
        <v/>
      </c>
      <c r="L303" s="12"/>
    </row>
    <row r="304" customFormat="false" ht="16.5" hidden="false" customHeight="true" outlineLevel="0" collapsed="false">
      <c r="A304" s="11"/>
      <c r="B304" s="12"/>
      <c r="C304" s="13" t="str">
        <f aca="false">IF(A304="","",DATE(VALUE(LEFT(A304,4)),VALUE(MID(A304,5,2)),VALUE(MID(A304,7,2))))</f>
        <v/>
      </c>
      <c r="D304" s="12"/>
      <c r="E304" s="12"/>
      <c r="F304" s="12"/>
      <c r="G304" s="16"/>
      <c r="H304" s="16"/>
      <c r="I304" s="16"/>
      <c r="J304" s="16"/>
      <c r="K304" s="17" t="str">
        <f aca="false">IF(A304="","",_xlfn.TEXTJOIN(",",TRUE(),G304:J304))</f>
        <v/>
      </c>
      <c r="L304" s="12"/>
    </row>
    <row r="305" customFormat="false" ht="16.5" hidden="false" customHeight="true" outlineLevel="0" collapsed="false">
      <c r="A305" s="11"/>
      <c r="B305" s="12"/>
      <c r="C305" s="13" t="str">
        <f aca="false">IF(A305="","",DATE(VALUE(LEFT(A305,4)),VALUE(MID(A305,5,2)),VALUE(MID(A305,7,2))))</f>
        <v/>
      </c>
      <c r="D305" s="12"/>
      <c r="E305" s="12"/>
      <c r="F305" s="12"/>
      <c r="G305" s="16"/>
      <c r="H305" s="16"/>
      <c r="I305" s="16"/>
      <c r="J305" s="16"/>
      <c r="K305" s="17" t="str">
        <f aca="false">IF(A305="","",_xlfn.TEXTJOIN(",",TRUE(),G305:J305))</f>
        <v/>
      </c>
      <c r="L305" s="12"/>
    </row>
    <row r="306" customFormat="false" ht="16.5" hidden="false" customHeight="true" outlineLevel="0" collapsed="false">
      <c r="A306" s="11"/>
      <c r="B306" s="12"/>
      <c r="C306" s="13" t="str">
        <f aca="false">IF(A306="","",DATE(VALUE(LEFT(A306,4)),VALUE(MID(A306,5,2)),VALUE(MID(A306,7,2))))</f>
        <v/>
      </c>
      <c r="D306" s="12"/>
      <c r="E306" s="12"/>
      <c r="F306" s="12"/>
      <c r="G306" s="16"/>
      <c r="H306" s="16"/>
      <c r="I306" s="16"/>
      <c r="J306" s="16"/>
      <c r="K306" s="17" t="str">
        <f aca="false">IF(A306="","",_xlfn.TEXTJOIN(",",TRUE(),G306:J306))</f>
        <v/>
      </c>
      <c r="L306" s="12"/>
    </row>
    <row r="307" customFormat="false" ht="16.5" hidden="false" customHeight="true" outlineLevel="0" collapsed="false">
      <c r="A307" s="11"/>
      <c r="B307" s="12"/>
      <c r="C307" s="13" t="str">
        <f aca="false">IF(A307="","",DATE(VALUE(LEFT(A307,4)),VALUE(MID(A307,5,2)),VALUE(MID(A307,7,2))))</f>
        <v/>
      </c>
      <c r="D307" s="12"/>
      <c r="E307" s="12"/>
      <c r="F307" s="12"/>
      <c r="G307" s="16"/>
      <c r="H307" s="16"/>
      <c r="I307" s="16"/>
      <c r="J307" s="16"/>
      <c r="K307" s="17" t="str">
        <f aca="false">IF(A307="","",_xlfn.TEXTJOIN(",",TRUE(),G307:J307))</f>
        <v/>
      </c>
      <c r="L307" s="12"/>
    </row>
    <row r="308" customFormat="false" ht="16.5" hidden="false" customHeight="true" outlineLevel="0" collapsed="false">
      <c r="A308" s="11"/>
      <c r="B308" s="12"/>
      <c r="C308" s="13" t="str">
        <f aca="false">IF(A308="","",DATE(VALUE(LEFT(A308,4)),VALUE(MID(A308,5,2)),VALUE(MID(A308,7,2))))</f>
        <v/>
      </c>
      <c r="D308" s="12"/>
      <c r="E308" s="12"/>
      <c r="F308" s="12"/>
      <c r="G308" s="16"/>
      <c r="H308" s="16"/>
      <c r="I308" s="16"/>
      <c r="J308" s="16"/>
      <c r="K308" s="17" t="str">
        <f aca="false">IF(A308="","",_xlfn.TEXTJOIN(",",TRUE(),G308:J308))</f>
        <v/>
      </c>
      <c r="L308" s="12"/>
    </row>
    <row r="309" customFormat="false" ht="16.5" hidden="false" customHeight="true" outlineLevel="0" collapsed="false">
      <c r="A309" s="11"/>
      <c r="B309" s="12"/>
      <c r="C309" s="13" t="str">
        <f aca="false">IF(A309="","",DATE(VALUE(LEFT(A309,4)),VALUE(MID(A309,5,2)),VALUE(MID(A309,7,2))))</f>
        <v/>
      </c>
      <c r="D309" s="12"/>
      <c r="E309" s="12"/>
      <c r="F309" s="12"/>
      <c r="G309" s="16"/>
      <c r="H309" s="16"/>
      <c r="I309" s="16"/>
      <c r="J309" s="16"/>
      <c r="K309" s="17" t="str">
        <f aca="false">IF(A309="","",_xlfn.TEXTJOIN(",",TRUE(),G309:J309))</f>
        <v/>
      </c>
      <c r="L309" s="12"/>
    </row>
    <row r="310" customFormat="false" ht="16.5" hidden="false" customHeight="true" outlineLevel="0" collapsed="false">
      <c r="A310" s="11"/>
      <c r="B310" s="12"/>
      <c r="C310" s="13" t="str">
        <f aca="false">IF(A310="","",DATE(VALUE(LEFT(A310,4)),VALUE(MID(A310,5,2)),VALUE(MID(A310,7,2))))</f>
        <v/>
      </c>
      <c r="D310" s="12"/>
      <c r="E310" s="12"/>
      <c r="F310" s="12"/>
      <c r="G310" s="16"/>
      <c r="H310" s="16"/>
      <c r="I310" s="16"/>
      <c r="J310" s="16"/>
      <c r="K310" s="17" t="str">
        <f aca="false">IF(A310="","",_xlfn.TEXTJOIN(",",TRUE(),G310:J310))</f>
        <v/>
      </c>
      <c r="L310" s="12"/>
    </row>
    <row r="311" customFormat="false" ht="16.5" hidden="false" customHeight="true" outlineLevel="0" collapsed="false">
      <c r="A311" s="11"/>
      <c r="B311" s="12"/>
      <c r="C311" s="13" t="str">
        <f aca="false">IF(A311="","",DATE(VALUE(LEFT(A311,4)),VALUE(MID(A311,5,2)),VALUE(MID(A311,7,2))))</f>
        <v/>
      </c>
      <c r="D311" s="12"/>
      <c r="E311" s="12"/>
      <c r="F311" s="12"/>
      <c r="G311" s="16"/>
      <c r="H311" s="16"/>
      <c r="I311" s="16"/>
      <c r="J311" s="16"/>
      <c r="K311" s="17" t="str">
        <f aca="false">IF(A311="","",_xlfn.TEXTJOIN(",",TRUE(),G311:J311))</f>
        <v/>
      </c>
      <c r="L311" s="12"/>
    </row>
    <row r="312" customFormat="false" ht="16.5" hidden="false" customHeight="true" outlineLevel="0" collapsed="false">
      <c r="A312" s="11"/>
      <c r="B312" s="12"/>
      <c r="C312" s="13" t="str">
        <f aca="false">IF(A312="","",DATE(VALUE(LEFT(A312,4)),VALUE(MID(A312,5,2)),VALUE(MID(A312,7,2))))</f>
        <v/>
      </c>
      <c r="D312" s="12"/>
      <c r="E312" s="12"/>
      <c r="F312" s="12"/>
      <c r="G312" s="16"/>
      <c r="H312" s="16"/>
      <c r="I312" s="16"/>
      <c r="J312" s="16"/>
      <c r="K312" s="17" t="str">
        <f aca="false">IF(A312="","",_xlfn.TEXTJOIN(",",TRUE(),G312:J312))</f>
        <v/>
      </c>
      <c r="L312" s="12"/>
    </row>
    <row r="313" customFormat="false" ht="16.5" hidden="false" customHeight="true" outlineLevel="0" collapsed="false">
      <c r="A313" s="11"/>
      <c r="B313" s="12"/>
      <c r="C313" s="13" t="str">
        <f aca="false">IF(A313="","",DATE(VALUE(LEFT(A313,4)),VALUE(MID(A313,5,2)),VALUE(MID(A313,7,2))))</f>
        <v/>
      </c>
      <c r="D313" s="12"/>
      <c r="E313" s="12"/>
      <c r="F313" s="12"/>
      <c r="G313" s="16"/>
      <c r="H313" s="16"/>
      <c r="I313" s="16"/>
      <c r="J313" s="16"/>
      <c r="K313" s="17" t="str">
        <f aca="false">IF(A313="","",_xlfn.TEXTJOIN(",",TRUE(),G313:J313))</f>
        <v/>
      </c>
      <c r="L313" s="12"/>
    </row>
    <row r="314" customFormat="false" ht="16.5" hidden="false" customHeight="true" outlineLevel="0" collapsed="false">
      <c r="A314" s="11"/>
      <c r="B314" s="12"/>
      <c r="C314" s="13" t="str">
        <f aca="false">IF(A314="","",DATE(VALUE(LEFT(A314,4)),VALUE(MID(A314,5,2)),VALUE(MID(A314,7,2))))</f>
        <v/>
      </c>
      <c r="D314" s="12"/>
      <c r="E314" s="12"/>
      <c r="F314" s="12"/>
      <c r="G314" s="16"/>
      <c r="H314" s="16"/>
      <c r="I314" s="16"/>
      <c r="J314" s="16"/>
      <c r="K314" s="17" t="str">
        <f aca="false">IF(A314="","",_xlfn.TEXTJOIN(",",TRUE(),G314:J314))</f>
        <v/>
      </c>
      <c r="L314" s="12"/>
    </row>
    <row r="315" customFormat="false" ht="16.5" hidden="false" customHeight="true" outlineLevel="0" collapsed="false">
      <c r="A315" s="11"/>
      <c r="B315" s="12"/>
      <c r="C315" s="13" t="str">
        <f aca="false">IF(A315="","",DATE(VALUE(LEFT(A315,4)),VALUE(MID(A315,5,2)),VALUE(MID(A315,7,2))))</f>
        <v/>
      </c>
      <c r="D315" s="12"/>
      <c r="E315" s="12"/>
      <c r="F315" s="12"/>
      <c r="G315" s="16"/>
      <c r="H315" s="16"/>
      <c r="I315" s="16"/>
      <c r="J315" s="16"/>
      <c r="K315" s="17" t="str">
        <f aca="false">IF(A315="","",_xlfn.TEXTJOIN(",",TRUE(),G315:J315))</f>
        <v/>
      </c>
      <c r="L315" s="12"/>
    </row>
    <row r="316" customFormat="false" ht="16.5" hidden="false" customHeight="true" outlineLevel="0" collapsed="false">
      <c r="A316" s="11"/>
      <c r="B316" s="12"/>
      <c r="C316" s="13" t="str">
        <f aca="false">IF(A316="","",DATE(VALUE(LEFT(A316,4)),VALUE(MID(A316,5,2)),VALUE(MID(A316,7,2))))</f>
        <v/>
      </c>
      <c r="D316" s="12"/>
      <c r="E316" s="12"/>
      <c r="F316" s="12"/>
      <c r="G316" s="16"/>
      <c r="H316" s="16"/>
      <c r="I316" s="16"/>
      <c r="J316" s="16"/>
      <c r="K316" s="17" t="str">
        <f aca="false">IF(A316="","",_xlfn.TEXTJOIN(",",TRUE(),G316:J316))</f>
        <v/>
      </c>
      <c r="L316" s="12"/>
    </row>
    <row r="317" customFormat="false" ht="16.5" hidden="false" customHeight="true" outlineLevel="0" collapsed="false">
      <c r="A317" s="11"/>
      <c r="B317" s="12"/>
      <c r="C317" s="13" t="str">
        <f aca="false">IF(A317="","",DATE(VALUE(LEFT(A317,4)),VALUE(MID(A317,5,2)),VALUE(MID(A317,7,2))))</f>
        <v/>
      </c>
      <c r="D317" s="12"/>
      <c r="E317" s="12"/>
      <c r="F317" s="12"/>
      <c r="G317" s="16"/>
      <c r="H317" s="16"/>
      <c r="I317" s="16"/>
      <c r="J317" s="16"/>
      <c r="K317" s="17" t="str">
        <f aca="false">IF(A317="","",_xlfn.TEXTJOIN(",",TRUE(),G317:J317))</f>
        <v/>
      </c>
      <c r="L317" s="12"/>
    </row>
    <row r="318" customFormat="false" ht="16.5" hidden="false" customHeight="true" outlineLevel="0" collapsed="false">
      <c r="A318" s="11"/>
      <c r="B318" s="12"/>
      <c r="C318" s="13" t="str">
        <f aca="false">IF(A318="","",DATE(VALUE(LEFT(A318,4)),VALUE(MID(A318,5,2)),VALUE(MID(A318,7,2))))</f>
        <v/>
      </c>
      <c r="D318" s="12"/>
      <c r="E318" s="12"/>
      <c r="F318" s="12"/>
      <c r="G318" s="16"/>
      <c r="H318" s="16"/>
      <c r="I318" s="16"/>
      <c r="J318" s="16"/>
      <c r="K318" s="17" t="str">
        <f aca="false">IF(A318="","",_xlfn.TEXTJOIN(",",TRUE(),G318:J318))</f>
        <v/>
      </c>
      <c r="L318" s="12"/>
    </row>
    <row r="319" customFormat="false" ht="16.5" hidden="false" customHeight="true" outlineLevel="0" collapsed="false">
      <c r="A319" s="11"/>
      <c r="B319" s="12"/>
      <c r="C319" s="13" t="str">
        <f aca="false">IF(A319="","",DATE(VALUE(LEFT(A319,4)),VALUE(MID(A319,5,2)),VALUE(MID(A319,7,2))))</f>
        <v/>
      </c>
      <c r="D319" s="12"/>
      <c r="E319" s="12"/>
      <c r="F319" s="12"/>
      <c r="G319" s="16"/>
      <c r="H319" s="16"/>
      <c r="I319" s="16"/>
      <c r="J319" s="16"/>
      <c r="K319" s="17" t="str">
        <f aca="false">IF(A319="","",_xlfn.TEXTJOIN(",",TRUE(),G319:J319))</f>
        <v/>
      </c>
      <c r="L319" s="12"/>
    </row>
    <row r="320" customFormat="false" ht="16.5" hidden="false" customHeight="true" outlineLevel="0" collapsed="false">
      <c r="A320" s="11"/>
      <c r="B320" s="12"/>
      <c r="C320" s="13" t="str">
        <f aca="false">IF(A320="","",DATE(VALUE(LEFT(A320,4)),VALUE(MID(A320,5,2)),VALUE(MID(A320,7,2))))</f>
        <v/>
      </c>
      <c r="D320" s="12"/>
      <c r="E320" s="12"/>
      <c r="F320" s="12"/>
      <c r="G320" s="16"/>
      <c r="H320" s="16"/>
      <c r="I320" s="16"/>
      <c r="J320" s="16"/>
      <c r="K320" s="17" t="str">
        <f aca="false">IF(A320="","",_xlfn.TEXTJOIN(",",TRUE(),G320:J320))</f>
        <v/>
      </c>
      <c r="L320" s="12"/>
    </row>
    <row r="321" customFormat="false" ht="16.5" hidden="false" customHeight="true" outlineLevel="0" collapsed="false">
      <c r="A321" s="11"/>
      <c r="B321" s="12"/>
      <c r="C321" s="13" t="str">
        <f aca="false">IF(A321="","",DATE(VALUE(LEFT(A321,4)),VALUE(MID(A321,5,2)),VALUE(MID(A321,7,2))))</f>
        <v/>
      </c>
      <c r="D321" s="12"/>
      <c r="E321" s="12"/>
      <c r="F321" s="12"/>
      <c r="G321" s="16"/>
      <c r="H321" s="16"/>
      <c r="I321" s="16"/>
      <c r="J321" s="16"/>
      <c r="K321" s="17" t="str">
        <f aca="false">IF(A321="","",_xlfn.TEXTJOIN(",",TRUE(),G321:J321))</f>
        <v/>
      </c>
      <c r="L321" s="12"/>
    </row>
    <row r="322" customFormat="false" ht="16.5" hidden="false" customHeight="true" outlineLevel="0" collapsed="false">
      <c r="A322" s="11"/>
      <c r="B322" s="12"/>
      <c r="C322" s="13" t="str">
        <f aca="false">IF(A322="","",DATE(VALUE(LEFT(A322,4)),VALUE(MID(A322,5,2)),VALUE(MID(A322,7,2))))</f>
        <v/>
      </c>
      <c r="D322" s="12"/>
      <c r="E322" s="12"/>
      <c r="F322" s="12"/>
      <c r="G322" s="16"/>
      <c r="H322" s="16"/>
      <c r="I322" s="16"/>
      <c r="J322" s="16"/>
      <c r="K322" s="17" t="str">
        <f aca="false">IF(A322="","",_xlfn.TEXTJOIN(",",TRUE(),G322:J322))</f>
        <v/>
      </c>
      <c r="L322" s="12"/>
    </row>
    <row r="323" customFormat="false" ht="16.5" hidden="false" customHeight="true" outlineLevel="0" collapsed="false">
      <c r="A323" s="11"/>
      <c r="B323" s="12"/>
      <c r="C323" s="13" t="str">
        <f aca="false">IF(A323="","",DATE(VALUE(LEFT(A323,4)),VALUE(MID(A323,5,2)),VALUE(MID(A323,7,2))))</f>
        <v/>
      </c>
      <c r="D323" s="12"/>
      <c r="E323" s="12"/>
      <c r="F323" s="12"/>
      <c r="G323" s="16"/>
      <c r="H323" s="16"/>
      <c r="I323" s="16"/>
      <c r="J323" s="16"/>
      <c r="K323" s="17" t="str">
        <f aca="false">IF(A323="","",_xlfn.TEXTJOIN(",",TRUE(),G323:J323))</f>
        <v/>
      </c>
      <c r="L323" s="12"/>
    </row>
    <row r="324" customFormat="false" ht="16.5" hidden="false" customHeight="true" outlineLevel="0" collapsed="false">
      <c r="A324" s="11"/>
      <c r="B324" s="12"/>
      <c r="C324" s="13" t="str">
        <f aca="false">IF(A324="","",DATE(VALUE(LEFT(A324,4)),VALUE(MID(A324,5,2)),VALUE(MID(A324,7,2))))</f>
        <v/>
      </c>
      <c r="D324" s="12"/>
      <c r="E324" s="12"/>
      <c r="F324" s="12"/>
      <c r="G324" s="16"/>
      <c r="H324" s="16"/>
      <c r="I324" s="16"/>
      <c r="J324" s="16"/>
      <c r="K324" s="17" t="str">
        <f aca="false">IF(A324="","",_xlfn.TEXTJOIN(",",TRUE(),G324:J324))</f>
        <v/>
      </c>
      <c r="L324" s="12"/>
    </row>
    <row r="325" customFormat="false" ht="16.5" hidden="false" customHeight="true" outlineLevel="0" collapsed="false">
      <c r="A325" s="11"/>
      <c r="B325" s="12"/>
      <c r="C325" s="13" t="str">
        <f aca="false">IF(A325="","",DATE(VALUE(LEFT(A325,4)),VALUE(MID(A325,5,2)),VALUE(MID(A325,7,2))))</f>
        <v/>
      </c>
      <c r="D325" s="12"/>
      <c r="E325" s="12"/>
      <c r="F325" s="12"/>
      <c r="G325" s="16"/>
      <c r="H325" s="16"/>
      <c r="I325" s="16"/>
      <c r="J325" s="16"/>
      <c r="K325" s="17" t="str">
        <f aca="false">IF(A325="","",_xlfn.TEXTJOIN(",",TRUE(),G325:J325))</f>
        <v/>
      </c>
      <c r="L325" s="12"/>
    </row>
    <row r="326" customFormat="false" ht="16.5" hidden="false" customHeight="true" outlineLevel="0" collapsed="false">
      <c r="A326" s="11"/>
      <c r="B326" s="12"/>
      <c r="C326" s="13" t="str">
        <f aca="false">IF(A326="","",DATE(VALUE(LEFT(A326,4)),VALUE(MID(A326,5,2)),VALUE(MID(A326,7,2))))</f>
        <v/>
      </c>
      <c r="D326" s="12"/>
      <c r="E326" s="12"/>
      <c r="F326" s="12"/>
      <c r="G326" s="16"/>
      <c r="H326" s="16"/>
      <c r="I326" s="16"/>
      <c r="J326" s="16"/>
      <c r="K326" s="17" t="str">
        <f aca="false">IF(A326="","",_xlfn.TEXTJOIN(",",TRUE(),G326:J326))</f>
        <v/>
      </c>
      <c r="L326" s="12"/>
    </row>
    <row r="327" customFormat="false" ht="16.5" hidden="false" customHeight="true" outlineLevel="0" collapsed="false">
      <c r="A327" s="11"/>
      <c r="B327" s="12"/>
      <c r="C327" s="13" t="str">
        <f aca="false">IF(A327="","",DATE(VALUE(LEFT(A327,4)),VALUE(MID(A327,5,2)),VALUE(MID(A327,7,2))))</f>
        <v/>
      </c>
      <c r="D327" s="12"/>
      <c r="E327" s="12"/>
      <c r="F327" s="12"/>
      <c r="G327" s="16"/>
      <c r="H327" s="16"/>
      <c r="I327" s="16"/>
      <c r="J327" s="16"/>
      <c r="K327" s="17" t="str">
        <f aca="false">IF(A327="","",_xlfn.TEXTJOIN(",",TRUE(),G327:J327))</f>
        <v/>
      </c>
      <c r="L327" s="12"/>
    </row>
    <row r="328" customFormat="false" ht="16.5" hidden="false" customHeight="true" outlineLevel="0" collapsed="false">
      <c r="A328" s="11"/>
      <c r="B328" s="12"/>
      <c r="C328" s="13" t="str">
        <f aca="false">IF(A328="","",DATE(VALUE(LEFT(A328,4)),VALUE(MID(A328,5,2)),VALUE(MID(A328,7,2))))</f>
        <v/>
      </c>
      <c r="D328" s="12"/>
      <c r="E328" s="12"/>
      <c r="F328" s="12"/>
      <c r="G328" s="16"/>
      <c r="H328" s="16"/>
      <c r="I328" s="16"/>
      <c r="J328" s="16"/>
      <c r="K328" s="17" t="str">
        <f aca="false">IF(A328="","",_xlfn.TEXTJOIN(",",TRUE(),G328:J328))</f>
        <v/>
      </c>
      <c r="L328" s="12"/>
    </row>
    <row r="329" customFormat="false" ht="16.5" hidden="false" customHeight="true" outlineLevel="0" collapsed="false">
      <c r="A329" s="11"/>
      <c r="B329" s="12"/>
      <c r="C329" s="13" t="str">
        <f aca="false">IF(A329="","",DATE(VALUE(LEFT(A329,4)),VALUE(MID(A329,5,2)),VALUE(MID(A329,7,2))))</f>
        <v/>
      </c>
      <c r="D329" s="12"/>
      <c r="E329" s="12"/>
      <c r="F329" s="12"/>
      <c r="G329" s="16"/>
      <c r="H329" s="16"/>
      <c r="I329" s="16"/>
      <c r="J329" s="16"/>
      <c r="K329" s="17" t="str">
        <f aca="false">IF(A329="","",_xlfn.TEXTJOIN(",",TRUE(),G329:J329))</f>
        <v/>
      </c>
      <c r="L329" s="12"/>
    </row>
    <row r="330" customFormat="false" ht="16.5" hidden="false" customHeight="true" outlineLevel="0" collapsed="false">
      <c r="A330" s="11"/>
      <c r="B330" s="12"/>
      <c r="C330" s="13" t="str">
        <f aca="false">IF(A330="","",DATE(VALUE(LEFT(A330,4)),VALUE(MID(A330,5,2)),VALUE(MID(A330,7,2))))</f>
        <v/>
      </c>
      <c r="D330" s="12"/>
      <c r="E330" s="12"/>
      <c r="F330" s="12"/>
      <c r="G330" s="16"/>
      <c r="H330" s="16"/>
      <c r="I330" s="16"/>
      <c r="J330" s="16"/>
      <c r="K330" s="17" t="str">
        <f aca="false">IF(A330="","",_xlfn.TEXTJOIN(",",TRUE(),G330:J330))</f>
        <v/>
      </c>
      <c r="L330" s="12"/>
    </row>
    <row r="331" customFormat="false" ht="16.5" hidden="false" customHeight="true" outlineLevel="0" collapsed="false">
      <c r="A331" s="11"/>
      <c r="B331" s="12"/>
      <c r="C331" s="13" t="str">
        <f aca="false">IF(A331="","",DATE(VALUE(LEFT(A331,4)),VALUE(MID(A331,5,2)),VALUE(MID(A331,7,2))))</f>
        <v/>
      </c>
      <c r="D331" s="12"/>
      <c r="E331" s="12"/>
      <c r="F331" s="12"/>
      <c r="G331" s="16"/>
      <c r="H331" s="16"/>
      <c r="I331" s="16"/>
      <c r="J331" s="16"/>
      <c r="K331" s="17" t="str">
        <f aca="false">IF(A331="","",_xlfn.TEXTJOIN(",",TRUE(),G331:J331))</f>
        <v/>
      </c>
      <c r="L331" s="12"/>
    </row>
    <row r="332" customFormat="false" ht="16.5" hidden="false" customHeight="true" outlineLevel="0" collapsed="false">
      <c r="A332" s="11"/>
      <c r="B332" s="12"/>
      <c r="C332" s="13" t="str">
        <f aca="false">IF(A332="","",DATE(VALUE(LEFT(A332,4)),VALUE(MID(A332,5,2)),VALUE(MID(A332,7,2))))</f>
        <v/>
      </c>
      <c r="D332" s="12"/>
      <c r="E332" s="12"/>
      <c r="F332" s="12"/>
      <c r="G332" s="16"/>
      <c r="H332" s="16"/>
      <c r="I332" s="16"/>
      <c r="J332" s="16"/>
      <c r="K332" s="17" t="str">
        <f aca="false">IF(A332="","",_xlfn.TEXTJOIN(",",TRUE(),G332:J332))</f>
        <v/>
      </c>
      <c r="L332" s="12"/>
    </row>
    <row r="333" customFormat="false" ht="16.5" hidden="false" customHeight="true" outlineLevel="0" collapsed="false">
      <c r="A333" s="11"/>
      <c r="B333" s="12"/>
      <c r="C333" s="13" t="str">
        <f aca="false">IF(A333="","",DATE(VALUE(LEFT(A333,4)),VALUE(MID(A333,5,2)),VALUE(MID(A333,7,2))))</f>
        <v/>
      </c>
      <c r="D333" s="12"/>
      <c r="E333" s="12"/>
      <c r="F333" s="12"/>
      <c r="G333" s="16"/>
      <c r="H333" s="16"/>
      <c r="I333" s="16"/>
      <c r="J333" s="16"/>
      <c r="K333" s="17" t="str">
        <f aca="false">IF(A333="","",_xlfn.TEXTJOIN(",",TRUE(),G333:J333))</f>
        <v/>
      </c>
      <c r="L333" s="12"/>
    </row>
    <row r="334" customFormat="false" ht="16.5" hidden="false" customHeight="true" outlineLevel="0" collapsed="false">
      <c r="A334" s="11"/>
      <c r="B334" s="12"/>
      <c r="C334" s="13" t="str">
        <f aca="false">IF(A334="","",DATE(VALUE(LEFT(A334,4)),VALUE(MID(A334,5,2)),VALUE(MID(A334,7,2))))</f>
        <v/>
      </c>
      <c r="D334" s="12"/>
      <c r="E334" s="12"/>
      <c r="F334" s="12"/>
      <c r="G334" s="16"/>
      <c r="H334" s="16"/>
      <c r="I334" s="16"/>
      <c r="J334" s="16"/>
      <c r="K334" s="17" t="str">
        <f aca="false">IF(A334="","",_xlfn.TEXTJOIN(",",TRUE(),G334:J334))</f>
        <v/>
      </c>
      <c r="L334" s="12"/>
    </row>
    <row r="335" customFormat="false" ht="16.5" hidden="false" customHeight="true" outlineLevel="0" collapsed="false">
      <c r="A335" s="11"/>
      <c r="B335" s="12"/>
      <c r="C335" s="13" t="str">
        <f aca="false">IF(A335="","",DATE(VALUE(LEFT(A335,4)),VALUE(MID(A335,5,2)),VALUE(MID(A335,7,2))))</f>
        <v/>
      </c>
      <c r="D335" s="12"/>
      <c r="E335" s="12"/>
      <c r="F335" s="12"/>
      <c r="G335" s="16"/>
      <c r="H335" s="16"/>
      <c r="I335" s="16"/>
      <c r="J335" s="16"/>
      <c r="K335" s="17" t="str">
        <f aca="false">IF(A335="","",_xlfn.TEXTJOIN(",",TRUE(),G335:J335))</f>
        <v/>
      </c>
      <c r="L335" s="12"/>
    </row>
    <row r="336" customFormat="false" ht="16.5" hidden="false" customHeight="true" outlineLevel="0" collapsed="false">
      <c r="A336" s="11"/>
      <c r="B336" s="12"/>
      <c r="C336" s="13" t="str">
        <f aca="false">IF(A336="","",DATE(VALUE(LEFT(A336,4)),VALUE(MID(A336,5,2)),VALUE(MID(A336,7,2))))</f>
        <v/>
      </c>
      <c r="D336" s="12"/>
      <c r="E336" s="12"/>
      <c r="F336" s="12"/>
      <c r="G336" s="16"/>
      <c r="H336" s="16"/>
      <c r="I336" s="16"/>
      <c r="J336" s="16"/>
      <c r="K336" s="17" t="str">
        <f aca="false">IF(A336="","",_xlfn.TEXTJOIN(",",TRUE(),G336:J336))</f>
        <v/>
      </c>
      <c r="L336" s="12"/>
    </row>
    <row r="337" customFormat="false" ht="16.5" hidden="false" customHeight="true" outlineLevel="0" collapsed="false">
      <c r="A337" s="11"/>
      <c r="B337" s="12"/>
      <c r="C337" s="13" t="str">
        <f aca="false">IF(A337="","",DATE(VALUE(LEFT(A337,4)),VALUE(MID(A337,5,2)),VALUE(MID(A337,7,2))))</f>
        <v/>
      </c>
      <c r="D337" s="12"/>
      <c r="E337" s="12"/>
      <c r="F337" s="12"/>
      <c r="G337" s="16"/>
      <c r="H337" s="16"/>
      <c r="I337" s="16"/>
      <c r="J337" s="16"/>
      <c r="K337" s="17" t="str">
        <f aca="false">IF(A337="","",_xlfn.TEXTJOIN(",",TRUE(),G337:J337))</f>
        <v/>
      </c>
      <c r="L337" s="12"/>
    </row>
    <row r="338" customFormat="false" ht="16.5" hidden="false" customHeight="true" outlineLevel="0" collapsed="false">
      <c r="A338" s="11"/>
      <c r="B338" s="12"/>
      <c r="C338" s="13" t="str">
        <f aca="false">IF(A338="","",DATE(VALUE(LEFT(A338,4)),VALUE(MID(A338,5,2)),VALUE(MID(A338,7,2))))</f>
        <v/>
      </c>
      <c r="D338" s="12"/>
      <c r="E338" s="12"/>
      <c r="F338" s="12"/>
      <c r="G338" s="16"/>
      <c r="H338" s="16"/>
      <c r="I338" s="16"/>
      <c r="J338" s="16"/>
      <c r="K338" s="17" t="str">
        <f aca="false">IF(A338="","",_xlfn.TEXTJOIN(",",TRUE(),G338:J338))</f>
        <v/>
      </c>
      <c r="L338" s="12"/>
    </row>
    <row r="339" customFormat="false" ht="16.5" hidden="false" customHeight="true" outlineLevel="0" collapsed="false">
      <c r="A339" s="11"/>
      <c r="B339" s="12"/>
      <c r="C339" s="13" t="str">
        <f aca="false">IF(A339="","",DATE(VALUE(LEFT(A339,4)),VALUE(MID(A339,5,2)),VALUE(MID(A339,7,2))))</f>
        <v/>
      </c>
      <c r="D339" s="12"/>
      <c r="E339" s="12"/>
      <c r="F339" s="12"/>
      <c r="G339" s="16"/>
      <c r="H339" s="16"/>
      <c r="I339" s="16"/>
      <c r="J339" s="16"/>
      <c r="K339" s="17" t="str">
        <f aca="false">IF(A339="","",_xlfn.TEXTJOIN(",",TRUE(),G339:J339))</f>
        <v/>
      </c>
      <c r="L339" s="12"/>
    </row>
    <row r="340" customFormat="false" ht="16.5" hidden="false" customHeight="true" outlineLevel="0" collapsed="false">
      <c r="A340" s="11"/>
      <c r="B340" s="12"/>
      <c r="C340" s="13" t="str">
        <f aca="false">IF(A340="","",DATE(VALUE(LEFT(A340,4)),VALUE(MID(A340,5,2)),VALUE(MID(A340,7,2))))</f>
        <v/>
      </c>
      <c r="D340" s="12"/>
      <c r="E340" s="12"/>
      <c r="F340" s="12"/>
      <c r="G340" s="16"/>
      <c r="H340" s="16"/>
      <c r="I340" s="16"/>
      <c r="J340" s="16"/>
      <c r="K340" s="17" t="str">
        <f aca="false">IF(A340="","",_xlfn.TEXTJOIN(",",TRUE(),G340:J340))</f>
        <v/>
      </c>
      <c r="L340" s="12"/>
    </row>
    <row r="341" customFormat="false" ht="16.5" hidden="false" customHeight="true" outlineLevel="0" collapsed="false">
      <c r="A341" s="11"/>
      <c r="B341" s="12"/>
      <c r="C341" s="13" t="str">
        <f aca="false">IF(A341="","",DATE(VALUE(LEFT(A341,4)),VALUE(MID(A341,5,2)),VALUE(MID(A341,7,2))))</f>
        <v/>
      </c>
      <c r="D341" s="12"/>
      <c r="E341" s="12"/>
      <c r="F341" s="12"/>
      <c r="G341" s="16"/>
      <c r="H341" s="16"/>
      <c r="I341" s="16"/>
      <c r="J341" s="16"/>
      <c r="K341" s="17" t="str">
        <f aca="false">IF(A341="","",_xlfn.TEXTJOIN(",",TRUE(),G341:J341))</f>
        <v/>
      </c>
      <c r="L341" s="12"/>
    </row>
    <row r="342" customFormat="false" ht="16.5" hidden="false" customHeight="true" outlineLevel="0" collapsed="false">
      <c r="A342" s="11"/>
      <c r="B342" s="12"/>
      <c r="C342" s="13" t="str">
        <f aca="false">IF(A342="","",DATE(VALUE(LEFT(A342,4)),VALUE(MID(A342,5,2)),VALUE(MID(A342,7,2))))</f>
        <v/>
      </c>
      <c r="D342" s="12"/>
      <c r="E342" s="12"/>
      <c r="F342" s="12"/>
      <c r="G342" s="16"/>
      <c r="H342" s="16"/>
      <c r="I342" s="16"/>
      <c r="J342" s="16"/>
      <c r="K342" s="17" t="str">
        <f aca="false">IF(A342="","",_xlfn.TEXTJOIN(",",TRUE(),G342:J342))</f>
        <v/>
      </c>
      <c r="L342" s="12"/>
    </row>
    <row r="343" customFormat="false" ht="16.5" hidden="false" customHeight="true" outlineLevel="0" collapsed="false">
      <c r="A343" s="11"/>
      <c r="B343" s="12"/>
      <c r="C343" s="13" t="str">
        <f aca="false">IF(A343="","",DATE(VALUE(LEFT(A343,4)),VALUE(MID(A343,5,2)),VALUE(MID(A343,7,2))))</f>
        <v/>
      </c>
      <c r="D343" s="12"/>
      <c r="E343" s="12"/>
      <c r="F343" s="12"/>
      <c r="G343" s="16"/>
      <c r="H343" s="16"/>
      <c r="I343" s="16"/>
      <c r="J343" s="16"/>
      <c r="K343" s="17" t="str">
        <f aca="false">IF(A343="","",_xlfn.TEXTJOIN(",",TRUE(),G343:J343))</f>
        <v/>
      </c>
      <c r="L343" s="12"/>
    </row>
    <row r="344" customFormat="false" ht="16.5" hidden="false" customHeight="true" outlineLevel="0" collapsed="false">
      <c r="A344" s="11"/>
      <c r="B344" s="12"/>
      <c r="C344" s="13" t="str">
        <f aca="false">IF(A344="","",DATE(VALUE(LEFT(A344,4)),VALUE(MID(A344,5,2)),VALUE(MID(A344,7,2))))</f>
        <v/>
      </c>
      <c r="D344" s="12"/>
      <c r="E344" s="12"/>
      <c r="F344" s="12"/>
      <c r="G344" s="16"/>
      <c r="H344" s="16"/>
      <c r="I344" s="16"/>
      <c r="J344" s="16"/>
      <c r="K344" s="17" t="str">
        <f aca="false">IF(A344="","",_xlfn.TEXTJOIN(",",TRUE(),G344:J344))</f>
        <v/>
      </c>
      <c r="L344" s="12"/>
    </row>
    <row r="345" customFormat="false" ht="16.5" hidden="false" customHeight="true" outlineLevel="0" collapsed="false">
      <c r="A345" s="11"/>
      <c r="B345" s="12"/>
      <c r="C345" s="13" t="str">
        <f aca="false">IF(A345="","",DATE(VALUE(LEFT(A345,4)),VALUE(MID(A345,5,2)),VALUE(MID(A345,7,2))))</f>
        <v/>
      </c>
      <c r="D345" s="12"/>
      <c r="E345" s="12"/>
      <c r="F345" s="12"/>
      <c r="G345" s="16"/>
      <c r="H345" s="16"/>
      <c r="I345" s="16"/>
      <c r="J345" s="16"/>
      <c r="K345" s="17" t="str">
        <f aca="false">IF(A345="","",_xlfn.TEXTJOIN(",",TRUE(),G345:J345))</f>
        <v/>
      </c>
      <c r="L345" s="12"/>
    </row>
    <row r="346" customFormat="false" ht="16.5" hidden="false" customHeight="true" outlineLevel="0" collapsed="false">
      <c r="A346" s="11"/>
      <c r="B346" s="12"/>
      <c r="C346" s="13" t="str">
        <f aca="false">IF(A346="","",DATE(VALUE(LEFT(A346,4)),VALUE(MID(A346,5,2)),VALUE(MID(A346,7,2))))</f>
        <v/>
      </c>
      <c r="D346" s="12"/>
      <c r="E346" s="12"/>
      <c r="F346" s="12"/>
      <c r="G346" s="16"/>
      <c r="H346" s="16"/>
      <c r="I346" s="16"/>
      <c r="J346" s="16"/>
      <c r="K346" s="17" t="str">
        <f aca="false">IF(A346="","",_xlfn.TEXTJOIN(",",TRUE(),G346:J346))</f>
        <v/>
      </c>
      <c r="L346" s="12"/>
    </row>
    <row r="347" customFormat="false" ht="16.5" hidden="false" customHeight="true" outlineLevel="0" collapsed="false">
      <c r="A347" s="11"/>
      <c r="B347" s="12"/>
      <c r="C347" s="13" t="str">
        <f aca="false">IF(A347="","",DATE(VALUE(LEFT(A347,4)),VALUE(MID(A347,5,2)),VALUE(MID(A347,7,2))))</f>
        <v/>
      </c>
      <c r="D347" s="12"/>
      <c r="E347" s="12"/>
      <c r="F347" s="12"/>
      <c r="G347" s="16"/>
      <c r="H347" s="16"/>
      <c r="I347" s="16"/>
      <c r="J347" s="16"/>
      <c r="K347" s="17" t="str">
        <f aca="false">IF(A347="","",_xlfn.TEXTJOIN(",",TRUE(),G347:J347))</f>
        <v/>
      </c>
      <c r="L347" s="12"/>
    </row>
    <row r="348" customFormat="false" ht="16.5" hidden="false" customHeight="true" outlineLevel="0" collapsed="false">
      <c r="A348" s="11"/>
      <c r="B348" s="12"/>
      <c r="C348" s="13" t="str">
        <f aca="false">IF(A348="","",DATE(VALUE(LEFT(A348,4)),VALUE(MID(A348,5,2)),VALUE(MID(A348,7,2))))</f>
        <v/>
      </c>
      <c r="D348" s="12"/>
      <c r="E348" s="12"/>
      <c r="F348" s="12"/>
      <c r="G348" s="16"/>
      <c r="H348" s="16"/>
      <c r="I348" s="16"/>
      <c r="J348" s="16"/>
      <c r="K348" s="17" t="str">
        <f aca="false">IF(A348="","",_xlfn.TEXTJOIN(",",TRUE(),G348:J348))</f>
        <v/>
      </c>
      <c r="L348" s="12"/>
    </row>
    <row r="349" customFormat="false" ht="16.5" hidden="false" customHeight="true" outlineLevel="0" collapsed="false">
      <c r="A349" s="11"/>
      <c r="B349" s="12"/>
      <c r="C349" s="13" t="str">
        <f aca="false">IF(A349="","",DATE(VALUE(LEFT(A349,4)),VALUE(MID(A349,5,2)),VALUE(MID(A349,7,2))))</f>
        <v/>
      </c>
      <c r="D349" s="12"/>
      <c r="E349" s="12"/>
      <c r="F349" s="12"/>
      <c r="G349" s="16"/>
      <c r="H349" s="16"/>
      <c r="I349" s="16"/>
      <c r="J349" s="16"/>
      <c r="K349" s="17" t="str">
        <f aca="false">IF(A349="","",_xlfn.TEXTJOIN(",",TRUE(),G349:J349))</f>
        <v/>
      </c>
      <c r="L349" s="12"/>
    </row>
    <row r="350" customFormat="false" ht="16.5" hidden="false" customHeight="true" outlineLevel="0" collapsed="false">
      <c r="A350" s="11"/>
      <c r="B350" s="12"/>
      <c r="C350" s="13" t="str">
        <f aca="false">IF(A350="","",DATE(VALUE(LEFT(A350,4)),VALUE(MID(A350,5,2)),VALUE(MID(A350,7,2))))</f>
        <v/>
      </c>
      <c r="D350" s="12"/>
      <c r="E350" s="12"/>
      <c r="F350" s="12"/>
      <c r="G350" s="16"/>
      <c r="H350" s="16"/>
      <c r="I350" s="16"/>
      <c r="J350" s="16"/>
      <c r="K350" s="17" t="str">
        <f aca="false">IF(A350="","",_xlfn.TEXTJOIN(",",TRUE(),G350:J350))</f>
        <v/>
      </c>
      <c r="L350" s="12"/>
    </row>
    <row r="351" customFormat="false" ht="16.5" hidden="false" customHeight="true" outlineLevel="0" collapsed="false">
      <c r="A351" s="11"/>
      <c r="B351" s="12"/>
      <c r="C351" s="13" t="str">
        <f aca="false">IF(A351="","",DATE(VALUE(LEFT(A351,4)),VALUE(MID(A351,5,2)),VALUE(MID(A351,7,2))))</f>
        <v/>
      </c>
      <c r="D351" s="12"/>
      <c r="E351" s="12"/>
      <c r="F351" s="12"/>
      <c r="G351" s="16"/>
      <c r="H351" s="16"/>
      <c r="I351" s="16"/>
      <c r="J351" s="16"/>
      <c r="K351" s="17" t="str">
        <f aca="false">IF(A351="","",_xlfn.TEXTJOIN(",",TRUE(),G351:J351))</f>
        <v/>
      </c>
      <c r="L351" s="12"/>
    </row>
    <row r="352" customFormat="false" ht="16.5" hidden="false" customHeight="true" outlineLevel="0" collapsed="false">
      <c r="A352" s="11"/>
      <c r="B352" s="12"/>
      <c r="C352" s="13" t="str">
        <f aca="false">IF(A352="","",DATE(VALUE(LEFT(A352,4)),VALUE(MID(A352,5,2)),VALUE(MID(A352,7,2))))</f>
        <v/>
      </c>
      <c r="D352" s="12"/>
      <c r="E352" s="12"/>
      <c r="F352" s="12"/>
      <c r="G352" s="16"/>
      <c r="H352" s="16"/>
      <c r="I352" s="16"/>
      <c r="J352" s="16"/>
      <c r="K352" s="17" t="str">
        <f aca="false">IF(A352="","",_xlfn.TEXTJOIN(",",TRUE(),G352:J352))</f>
        <v/>
      </c>
      <c r="L352" s="12"/>
    </row>
    <row r="353" customFormat="false" ht="16.5" hidden="false" customHeight="true" outlineLevel="0" collapsed="false">
      <c r="A353" s="11"/>
      <c r="B353" s="12"/>
      <c r="C353" s="13" t="str">
        <f aca="false">IF(A353="","",DATE(VALUE(LEFT(A353,4)),VALUE(MID(A353,5,2)),VALUE(MID(A353,7,2))))</f>
        <v/>
      </c>
      <c r="D353" s="12"/>
      <c r="E353" s="12"/>
      <c r="F353" s="12"/>
      <c r="G353" s="16"/>
      <c r="H353" s="16"/>
      <c r="I353" s="16"/>
      <c r="J353" s="16"/>
      <c r="K353" s="17" t="str">
        <f aca="false">IF(A353="","",_xlfn.TEXTJOIN(",",TRUE(),G353:J353))</f>
        <v/>
      </c>
      <c r="L353" s="12"/>
    </row>
    <row r="354" customFormat="false" ht="16.5" hidden="false" customHeight="true" outlineLevel="0" collapsed="false">
      <c r="A354" s="11"/>
      <c r="B354" s="12"/>
      <c r="C354" s="13" t="str">
        <f aca="false">IF(A354="","",DATE(VALUE(LEFT(A354,4)),VALUE(MID(A354,5,2)),VALUE(MID(A354,7,2))))</f>
        <v/>
      </c>
      <c r="D354" s="12"/>
      <c r="E354" s="12"/>
      <c r="F354" s="12"/>
      <c r="G354" s="16"/>
      <c r="H354" s="16"/>
      <c r="I354" s="16"/>
      <c r="J354" s="16"/>
      <c r="K354" s="17" t="str">
        <f aca="false">IF(A354="","",_xlfn.TEXTJOIN(",",TRUE(),G354:J354))</f>
        <v/>
      </c>
      <c r="L354" s="12"/>
    </row>
    <row r="355" customFormat="false" ht="16.5" hidden="false" customHeight="true" outlineLevel="0" collapsed="false">
      <c r="A355" s="11"/>
      <c r="B355" s="12"/>
      <c r="C355" s="13" t="str">
        <f aca="false">IF(A355="","",DATE(VALUE(LEFT(A355,4)),VALUE(MID(A355,5,2)),VALUE(MID(A355,7,2))))</f>
        <v/>
      </c>
      <c r="D355" s="12"/>
      <c r="E355" s="12"/>
      <c r="F355" s="12"/>
      <c r="G355" s="16"/>
      <c r="H355" s="16"/>
      <c r="I355" s="16"/>
      <c r="J355" s="16"/>
      <c r="K355" s="17" t="str">
        <f aca="false">IF(A355="","",_xlfn.TEXTJOIN(",",TRUE(),G355:J355))</f>
        <v/>
      </c>
      <c r="L355" s="12"/>
    </row>
    <row r="356" customFormat="false" ht="16.5" hidden="false" customHeight="true" outlineLevel="0" collapsed="false">
      <c r="A356" s="11"/>
      <c r="B356" s="12"/>
      <c r="C356" s="13" t="str">
        <f aca="false">IF(A356="","",DATE(VALUE(LEFT(A356,4)),VALUE(MID(A356,5,2)),VALUE(MID(A356,7,2))))</f>
        <v/>
      </c>
      <c r="D356" s="12"/>
      <c r="E356" s="12"/>
      <c r="F356" s="12"/>
      <c r="G356" s="16"/>
      <c r="H356" s="16"/>
      <c r="I356" s="16"/>
      <c r="J356" s="16"/>
      <c r="K356" s="17" t="str">
        <f aca="false">IF(A356="","",_xlfn.TEXTJOIN(",",TRUE(),G356:J356))</f>
        <v/>
      </c>
      <c r="L356" s="12"/>
    </row>
    <row r="357" customFormat="false" ht="16.5" hidden="false" customHeight="true" outlineLevel="0" collapsed="false">
      <c r="A357" s="11"/>
      <c r="B357" s="12"/>
      <c r="C357" s="13" t="str">
        <f aca="false">IF(A357="","",DATE(VALUE(LEFT(A357,4)),VALUE(MID(A357,5,2)),VALUE(MID(A357,7,2))))</f>
        <v/>
      </c>
      <c r="D357" s="12"/>
      <c r="E357" s="12"/>
      <c r="F357" s="12"/>
      <c r="G357" s="16"/>
      <c r="H357" s="16"/>
      <c r="I357" s="16"/>
      <c r="J357" s="16"/>
      <c r="K357" s="17" t="str">
        <f aca="false">IF(A357="","",_xlfn.TEXTJOIN(",",TRUE(),G357:J357))</f>
        <v/>
      </c>
      <c r="L357" s="12"/>
    </row>
    <row r="358" customFormat="false" ht="16.5" hidden="false" customHeight="true" outlineLevel="0" collapsed="false">
      <c r="A358" s="11"/>
      <c r="B358" s="12"/>
      <c r="C358" s="13" t="str">
        <f aca="false">IF(A358="","",DATE(VALUE(LEFT(A358,4)),VALUE(MID(A358,5,2)),VALUE(MID(A358,7,2))))</f>
        <v/>
      </c>
      <c r="D358" s="12"/>
      <c r="E358" s="12"/>
      <c r="F358" s="12"/>
      <c r="G358" s="16"/>
      <c r="H358" s="16"/>
      <c r="I358" s="16"/>
      <c r="J358" s="16"/>
      <c r="K358" s="17" t="str">
        <f aca="false">IF(A358="","",_xlfn.TEXTJOIN(",",TRUE(),G358:J358))</f>
        <v/>
      </c>
      <c r="L358" s="12"/>
    </row>
    <row r="359" customFormat="false" ht="16.5" hidden="false" customHeight="true" outlineLevel="0" collapsed="false">
      <c r="A359" s="11"/>
      <c r="B359" s="12"/>
      <c r="C359" s="13" t="str">
        <f aca="false">IF(A359="","",DATE(VALUE(LEFT(A359,4)),VALUE(MID(A359,5,2)),VALUE(MID(A359,7,2))))</f>
        <v/>
      </c>
      <c r="D359" s="12"/>
      <c r="E359" s="12"/>
      <c r="F359" s="12"/>
      <c r="G359" s="16"/>
      <c r="H359" s="16"/>
      <c r="I359" s="16"/>
      <c r="J359" s="16"/>
      <c r="K359" s="17" t="str">
        <f aca="false">IF(A359="","",_xlfn.TEXTJOIN(",",TRUE(),G359:J359))</f>
        <v/>
      </c>
      <c r="L359" s="12"/>
    </row>
    <row r="360" customFormat="false" ht="16.5" hidden="false" customHeight="true" outlineLevel="0" collapsed="false">
      <c r="A360" s="11"/>
      <c r="B360" s="12"/>
      <c r="C360" s="13" t="str">
        <f aca="false">IF(A360="","",DATE(VALUE(LEFT(A360,4)),VALUE(MID(A360,5,2)),VALUE(MID(A360,7,2))))</f>
        <v/>
      </c>
      <c r="D360" s="12"/>
      <c r="E360" s="12"/>
      <c r="F360" s="12"/>
      <c r="G360" s="16"/>
      <c r="H360" s="16"/>
      <c r="I360" s="16"/>
      <c r="J360" s="16"/>
      <c r="K360" s="17" t="str">
        <f aca="false">IF(A360="","",_xlfn.TEXTJOIN(",",TRUE(),G360:J360))</f>
        <v/>
      </c>
      <c r="L360" s="12"/>
    </row>
    <row r="361" customFormat="false" ht="16.5" hidden="false" customHeight="true" outlineLevel="0" collapsed="false">
      <c r="A361" s="11"/>
      <c r="B361" s="12"/>
      <c r="C361" s="13" t="str">
        <f aca="false">IF(A361="","",DATE(VALUE(LEFT(A361,4)),VALUE(MID(A361,5,2)),VALUE(MID(A361,7,2))))</f>
        <v/>
      </c>
      <c r="D361" s="12"/>
      <c r="E361" s="12"/>
      <c r="F361" s="12"/>
      <c r="G361" s="16"/>
      <c r="H361" s="16"/>
      <c r="I361" s="16"/>
      <c r="J361" s="16"/>
      <c r="K361" s="17" t="str">
        <f aca="false">IF(A361="","",_xlfn.TEXTJOIN(",",TRUE(),G361:J361))</f>
        <v/>
      </c>
      <c r="L361" s="12"/>
    </row>
    <row r="362" customFormat="false" ht="16.5" hidden="false" customHeight="true" outlineLevel="0" collapsed="false">
      <c r="A362" s="11"/>
      <c r="B362" s="12"/>
      <c r="C362" s="13" t="str">
        <f aca="false">IF(A362="","",DATE(VALUE(LEFT(A362,4)),VALUE(MID(A362,5,2)),VALUE(MID(A362,7,2))))</f>
        <v/>
      </c>
      <c r="D362" s="12"/>
      <c r="E362" s="12"/>
      <c r="F362" s="12"/>
      <c r="G362" s="16"/>
      <c r="H362" s="16"/>
      <c r="I362" s="16"/>
      <c r="J362" s="16"/>
      <c r="K362" s="17" t="str">
        <f aca="false">IF(A362="","",_xlfn.TEXTJOIN(",",TRUE(),G362:J362))</f>
        <v/>
      </c>
      <c r="L362" s="12"/>
    </row>
    <row r="363" customFormat="false" ht="16.5" hidden="false" customHeight="true" outlineLevel="0" collapsed="false">
      <c r="A363" s="11"/>
      <c r="B363" s="12"/>
      <c r="C363" s="13" t="str">
        <f aca="false">IF(A363="","",DATE(VALUE(LEFT(A363,4)),VALUE(MID(A363,5,2)),VALUE(MID(A363,7,2))))</f>
        <v/>
      </c>
      <c r="D363" s="12"/>
      <c r="E363" s="12"/>
      <c r="F363" s="12"/>
      <c r="G363" s="16"/>
      <c r="H363" s="16"/>
      <c r="I363" s="16"/>
      <c r="J363" s="16"/>
      <c r="K363" s="17" t="str">
        <f aca="false">IF(A363="","",_xlfn.TEXTJOIN(",",TRUE(),G363:J363))</f>
        <v/>
      </c>
      <c r="L363" s="12"/>
    </row>
    <row r="364" customFormat="false" ht="16.5" hidden="false" customHeight="true" outlineLevel="0" collapsed="false">
      <c r="A364" s="11"/>
      <c r="B364" s="12"/>
      <c r="C364" s="13" t="str">
        <f aca="false">IF(A364="","",DATE(VALUE(LEFT(A364,4)),VALUE(MID(A364,5,2)),VALUE(MID(A364,7,2))))</f>
        <v/>
      </c>
      <c r="D364" s="12"/>
      <c r="E364" s="12"/>
      <c r="F364" s="12"/>
      <c r="G364" s="16"/>
      <c r="H364" s="16"/>
      <c r="I364" s="16"/>
      <c r="J364" s="16"/>
      <c r="K364" s="17" t="str">
        <f aca="false">IF(A364="","",_xlfn.TEXTJOIN(",",TRUE(),G364:J364))</f>
        <v/>
      </c>
      <c r="L364" s="12"/>
    </row>
    <row r="365" customFormat="false" ht="16.5" hidden="false" customHeight="true" outlineLevel="0" collapsed="false">
      <c r="A365" s="11"/>
      <c r="B365" s="12"/>
      <c r="C365" s="13" t="str">
        <f aca="false">IF(A365="","",DATE(VALUE(LEFT(A365,4)),VALUE(MID(A365,5,2)),VALUE(MID(A365,7,2))))</f>
        <v/>
      </c>
      <c r="D365" s="12"/>
      <c r="E365" s="12"/>
      <c r="F365" s="12"/>
      <c r="G365" s="16"/>
      <c r="H365" s="16"/>
      <c r="I365" s="16"/>
      <c r="J365" s="16"/>
      <c r="K365" s="17" t="str">
        <f aca="false">IF(A365="","",_xlfn.TEXTJOIN(",",TRUE(),G365:J365))</f>
        <v/>
      </c>
      <c r="L365" s="12"/>
    </row>
    <row r="366" customFormat="false" ht="16.5" hidden="false" customHeight="true" outlineLevel="0" collapsed="false">
      <c r="A366" s="11"/>
      <c r="B366" s="12"/>
      <c r="C366" s="13" t="str">
        <f aca="false">IF(A366="","",DATE(VALUE(LEFT(A366,4)),VALUE(MID(A366,5,2)),VALUE(MID(A366,7,2))))</f>
        <v/>
      </c>
      <c r="D366" s="12"/>
      <c r="E366" s="12"/>
      <c r="F366" s="12"/>
      <c r="G366" s="16"/>
      <c r="H366" s="16"/>
      <c r="I366" s="16"/>
      <c r="J366" s="16"/>
      <c r="K366" s="17" t="str">
        <f aca="false">IF(A366="","",_xlfn.TEXTJOIN(",",TRUE(),G366:J366))</f>
        <v/>
      </c>
      <c r="L366" s="12"/>
    </row>
    <row r="367" customFormat="false" ht="16.5" hidden="false" customHeight="true" outlineLevel="0" collapsed="false">
      <c r="A367" s="11"/>
      <c r="B367" s="12"/>
      <c r="C367" s="13" t="str">
        <f aca="false">IF(A367="","",DATE(VALUE(LEFT(A367,4)),VALUE(MID(A367,5,2)),VALUE(MID(A367,7,2))))</f>
        <v/>
      </c>
      <c r="D367" s="12"/>
      <c r="E367" s="12"/>
      <c r="F367" s="12"/>
      <c r="G367" s="16"/>
      <c r="H367" s="16"/>
      <c r="I367" s="16"/>
      <c r="J367" s="16"/>
      <c r="K367" s="17" t="str">
        <f aca="false">IF(A367="","",_xlfn.TEXTJOIN(",",TRUE(),G367:J367))</f>
        <v/>
      </c>
      <c r="L367" s="12"/>
    </row>
    <row r="368" customFormat="false" ht="16.5" hidden="false" customHeight="true" outlineLevel="0" collapsed="false">
      <c r="A368" s="11"/>
      <c r="B368" s="12"/>
      <c r="C368" s="13" t="str">
        <f aca="false">IF(A368="","",DATE(VALUE(LEFT(A368,4)),VALUE(MID(A368,5,2)),VALUE(MID(A368,7,2))))</f>
        <v/>
      </c>
      <c r="D368" s="12"/>
      <c r="E368" s="12"/>
      <c r="F368" s="12"/>
      <c r="G368" s="16"/>
      <c r="H368" s="16"/>
      <c r="I368" s="16"/>
      <c r="J368" s="16"/>
      <c r="K368" s="17" t="str">
        <f aca="false">IF(A368="","",_xlfn.TEXTJOIN(",",TRUE(),G368:J368))</f>
        <v/>
      </c>
      <c r="L368" s="12"/>
    </row>
    <row r="369" customFormat="false" ht="16.5" hidden="false" customHeight="true" outlineLevel="0" collapsed="false">
      <c r="A369" s="11"/>
      <c r="B369" s="12"/>
      <c r="C369" s="13" t="str">
        <f aca="false">IF(A369="","",DATE(VALUE(LEFT(A369,4)),VALUE(MID(A369,5,2)),VALUE(MID(A369,7,2))))</f>
        <v/>
      </c>
      <c r="D369" s="12"/>
      <c r="E369" s="12"/>
      <c r="F369" s="12"/>
      <c r="G369" s="16"/>
      <c r="H369" s="16"/>
      <c r="I369" s="16"/>
      <c r="J369" s="16"/>
      <c r="K369" s="17" t="str">
        <f aca="false">IF(A369="","",_xlfn.TEXTJOIN(",",TRUE(),G369:J369))</f>
        <v/>
      </c>
      <c r="L369" s="12"/>
    </row>
    <row r="370" customFormat="false" ht="16.5" hidden="false" customHeight="true" outlineLevel="0" collapsed="false">
      <c r="A370" s="11"/>
      <c r="B370" s="12"/>
      <c r="C370" s="13" t="str">
        <f aca="false">IF(A370="","",DATE(VALUE(LEFT(A370,4)),VALUE(MID(A370,5,2)),VALUE(MID(A370,7,2))))</f>
        <v/>
      </c>
      <c r="D370" s="12"/>
      <c r="E370" s="12"/>
      <c r="F370" s="12"/>
      <c r="G370" s="16"/>
      <c r="H370" s="16"/>
      <c r="I370" s="16"/>
      <c r="J370" s="16"/>
      <c r="K370" s="17" t="str">
        <f aca="false">IF(A370="","",_xlfn.TEXTJOIN(",",TRUE(),G370:J370))</f>
        <v/>
      </c>
      <c r="L370" s="12"/>
    </row>
    <row r="371" customFormat="false" ht="16.5" hidden="false" customHeight="true" outlineLevel="0" collapsed="false">
      <c r="A371" s="11"/>
      <c r="B371" s="12"/>
      <c r="C371" s="13" t="str">
        <f aca="false">IF(A371="","",DATE(VALUE(LEFT(A371,4)),VALUE(MID(A371,5,2)),VALUE(MID(A371,7,2))))</f>
        <v/>
      </c>
      <c r="D371" s="12"/>
      <c r="E371" s="12"/>
      <c r="F371" s="12"/>
      <c r="G371" s="16"/>
      <c r="H371" s="16"/>
      <c r="I371" s="16"/>
      <c r="J371" s="16"/>
      <c r="K371" s="17" t="str">
        <f aca="false">IF(A371="","",_xlfn.TEXTJOIN(",",TRUE(),G371:J371))</f>
        <v/>
      </c>
      <c r="L371" s="12"/>
    </row>
    <row r="372" customFormat="false" ht="16.5" hidden="false" customHeight="true" outlineLevel="0" collapsed="false">
      <c r="A372" s="11"/>
      <c r="B372" s="12"/>
      <c r="C372" s="13" t="str">
        <f aca="false">IF(A372="","",DATE(VALUE(LEFT(A372,4)),VALUE(MID(A372,5,2)),VALUE(MID(A372,7,2))))</f>
        <v/>
      </c>
      <c r="D372" s="12"/>
      <c r="E372" s="12"/>
      <c r="F372" s="12"/>
      <c r="G372" s="16"/>
      <c r="H372" s="16"/>
      <c r="I372" s="16"/>
      <c r="J372" s="16"/>
      <c r="K372" s="17" t="str">
        <f aca="false">IF(A372="","",_xlfn.TEXTJOIN(",",TRUE(),G372:J372))</f>
        <v/>
      </c>
      <c r="L372" s="12"/>
    </row>
    <row r="373" customFormat="false" ht="16.5" hidden="false" customHeight="true" outlineLevel="0" collapsed="false">
      <c r="A373" s="11"/>
      <c r="B373" s="12"/>
      <c r="C373" s="13" t="str">
        <f aca="false">IF(A373="","",DATE(VALUE(LEFT(A373,4)),VALUE(MID(A373,5,2)),VALUE(MID(A373,7,2))))</f>
        <v/>
      </c>
      <c r="D373" s="12"/>
      <c r="E373" s="12"/>
      <c r="F373" s="12"/>
      <c r="G373" s="16"/>
      <c r="H373" s="16"/>
      <c r="I373" s="16"/>
      <c r="J373" s="16"/>
      <c r="K373" s="17" t="str">
        <f aca="false">IF(A373="","",_xlfn.TEXTJOIN(",",TRUE(),G373:J373))</f>
        <v/>
      </c>
      <c r="L373" s="12"/>
    </row>
    <row r="374" customFormat="false" ht="16.5" hidden="false" customHeight="true" outlineLevel="0" collapsed="false">
      <c r="A374" s="11"/>
      <c r="B374" s="12"/>
      <c r="C374" s="13" t="str">
        <f aca="false">IF(A374="","",DATE(VALUE(LEFT(A374,4)),VALUE(MID(A374,5,2)),VALUE(MID(A374,7,2))))</f>
        <v/>
      </c>
      <c r="D374" s="12"/>
      <c r="E374" s="12"/>
      <c r="F374" s="12"/>
      <c r="G374" s="16"/>
      <c r="H374" s="16"/>
      <c r="I374" s="16"/>
      <c r="J374" s="16"/>
      <c r="K374" s="17" t="str">
        <f aca="false">IF(A374="","",_xlfn.TEXTJOIN(",",TRUE(),G374:J374))</f>
        <v/>
      </c>
      <c r="L374" s="12"/>
    </row>
    <row r="375" customFormat="false" ht="16.5" hidden="false" customHeight="true" outlineLevel="0" collapsed="false">
      <c r="A375" s="11"/>
      <c r="B375" s="12"/>
      <c r="C375" s="13" t="str">
        <f aca="false">IF(A375="","",DATE(VALUE(LEFT(A375,4)),VALUE(MID(A375,5,2)),VALUE(MID(A375,7,2))))</f>
        <v/>
      </c>
      <c r="D375" s="12"/>
      <c r="E375" s="12"/>
      <c r="F375" s="12"/>
      <c r="G375" s="16"/>
      <c r="H375" s="16"/>
      <c r="I375" s="16"/>
      <c r="J375" s="16"/>
      <c r="K375" s="17" t="str">
        <f aca="false">IF(A375="","",_xlfn.TEXTJOIN(",",TRUE(),G375:J375))</f>
        <v/>
      </c>
      <c r="L375" s="12"/>
    </row>
    <row r="376" customFormat="false" ht="16.5" hidden="false" customHeight="true" outlineLevel="0" collapsed="false">
      <c r="A376" s="11"/>
      <c r="B376" s="12"/>
      <c r="C376" s="13" t="str">
        <f aca="false">IF(A376="","",DATE(VALUE(LEFT(A376,4)),VALUE(MID(A376,5,2)),VALUE(MID(A376,7,2))))</f>
        <v/>
      </c>
      <c r="D376" s="12"/>
      <c r="E376" s="12"/>
      <c r="F376" s="12"/>
      <c r="G376" s="16"/>
      <c r="H376" s="16"/>
      <c r="I376" s="16"/>
      <c r="J376" s="16"/>
      <c r="K376" s="17" t="str">
        <f aca="false">IF(A376="","",_xlfn.TEXTJOIN(",",TRUE(),G376:J376))</f>
        <v/>
      </c>
      <c r="L376" s="12"/>
    </row>
    <row r="377" customFormat="false" ht="16.5" hidden="false" customHeight="true" outlineLevel="0" collapsed="false">
      <c r="A377" s="11"/>
      <c r="B377" s="12"/>
      <c r="C377" s="13" t="str">
        <f aca="false">IF(A377="","",DATE(VALUE(LEFT(A377,4)),VALUE(MID(A377,5,2)),VALUE(MID(A377,7,2))))</f>
        <v/>
      </c>
      <c r="D377" s="12"/>
      <c r="E377" s="12"/>
      <c r="F377" s="12"/>
      <c r="G377" s="16"/>
      <c r="H377" s="16"/>
      <c r="I377" s="16"/>
      <c r="J377" s="16"/>
      <c r="K377" s="17" t="str">
        <f aca="false">IF(A377="","",_xlfn.TEXTJOIN(",",TRUE(),G377:J377))</f>
        <v/>
      </c>
      <c r="L377" s="12"/>
    </row>
    <row r="378" customFormat="false" ht="16.5" hidden="false" customHeight="true" outlineLevel="0" collapsed="false">
      <c r="A378" s="11"/>
      <c r="B378" s="12"/>
      <c r="C378" s="13" t="str">
        <f aca="false">IF(A378="","",DATE(VALUE(LEFT(A378,4)),VALUE(MID(A378,5,2)),VALUE(MID(A378,7,2))))</f>
        <v/>
      </c>
      <c r="D378" s="12"/>
      <c r="E378" s="12"/>
      <c r="F378" s="12"/>
      <c r="G378" s="16"/>
      <c r="H378" s="16"/>
      <c r="I378" s="16"/>
      <c r="J378" s="16"/>
      <c r="K378" s="17" t="str">
        <f aca="false">IF(A378="","",_xlfn.TEXTJOIN(",",TRUE(),G378:J378))</f>
        <v/>
      </c>
      <c r="L378" s="12"/>
    </row>
    <row r="379" customFormat="false" ht="16.5" hidden="false" customHeight="true" outlineLevel="0" collapsed="false">
      <c r="A379" s="11"/>
      <c r="B379" s="12"/>
      <c r="C379" s="13" t="str">
        <f aca="false">IF(A379="","",DATE(VALUE(LEFT(A379,4)),VALUE(MID(A379,5,2)),VALUE(MID(A379,7,2))))</f>
        <v/>
      </c>
      <c r="D379" s="12"/>
      <c r="E379" s="12"/>
      <c r="F379" s="12"/>
      <c r="G379" s="16"/>
      <c r="H379" s="16"/>
      <c r="I379" s="16"/>
      <c r="J379" s="16"/>
      <c r="K379" s="17" t="str">
        <f aca="false">IF(A379="","",_xlfn.TEXTJOIN(",",TRUE(),G379:J379))</f>
        <v/>
      </c>
      <c r="L379" s="12"/>
    </row>
    <row r="380" customFormat="false" ht="16.5" hidden="false" customHeight="true" outlineLevel="0" collapsed="false">
      <c r="A380" s="11"/>
      <c r="B380" s="12"/>
      <c r="C380" s="13" t="str">
        <f aca="false">IF(A380="","",DATE(VALUE(LEFT(A380,4)),VALUE(MID(A380,5,2)),VALUE(MID(A380,7,2))))</f>
        <v/>
      </c>
      <c r="D380" s="12"/>
      <c r="E380" s="12"/>
      <c r="F380" s="12"/>
      <c r="G380" s="16"/>
      <c r="H380" s="16"/>
      <c r="I380" s="16"/>
      <c r="J380" s="16"/>
      <c r="K380" s="17" t="str">
        <f aca="false">IF(A380="","",_xlfn.TEXTJOIN(",",TRUE(),G380:J380))</f>
        <v/>
      </c>
      <c r="L380" s="12"/>
    </row>
    <row r="381" customFormat="false" ht="16.5" hidden="false" customHeight="true" outlineLevel="0" collapsed="false">
      <c r="A381" s="11"/>
      <c r="B381" s="12"/>
      <c r="C381" s="13" t="str">
        <f aca="false">IF(A381="","",DATE(VALUE(LEFT(A381,4)),VALUE(MID(A381,5,2)),VALUE(MID(A381,7,2))))</f>
        <v/>
      </c>
      <c r="D381" s="12"/>
      <c r="E381" s="12"/>
      <c r="F381" s="12"/>
      <c r="G381" s="16"/>
      <c r="H381" s="16"/>
      <c r="I381" s="16"/>
      <c r="J381" s="16"/>
      <c r="K381" s="17" t="str">
        <f aca="false">IF(A381="","",_xlfn.TEXTJOIN(",",TRUE(),G381:J381))</f>
        <v/>
      </c>
      <c r="L381" s="12"/>
    </row>
    <row r="382" customFormat="false" ht="16.5" hidden="false" customHeight="true" outlineLevel="0" collapsed="false">
      <c r="A382" s="11"/>
      <c r="B382" s="12"/>
      <c r="C382" s="13" t="str">
        <f aca="false">IF(A382="","",DATE(VALUE(LEFT(A382,4)),VALUE(MID(A382,5,2)),VALUE(MID(A382,7,2))))</f>
        <v/>
      </c>
      <c r="D382" s="12"/>
      <c r="E382" s="12"/>
      <c r="F382" s="12"/>
      <c r="G382" s="16"/>
      <c r="H382" s="16"/>
      <c r="I382" s="16"/>
      <c r="J382" s="16"/>
      <c r="K382" s="17" t="str">
        <f aca="false">IF(A382="","",_xlfn.TEXTJOIN(",",TRUE(),G382:J382))</f>
        <v/>
      </c>
      <c r="L382" s="12"/>
    </row>
    <row r="383" customFormat="false" ht="16.5" hidden="false" customHeight="true" outlineLevel="0" collapsed="false">
      <c r="A383" s="11"/>
      <c r="B383" s="12"/>
      <c r="C383" s="13" t="str">
        <f aca="false">IF(A383="","",DATE(VALUE(LEFT(A383,4)),VALUE(MID(A383,5,2)),VALUE(MID(A383,7,2))))</f>
        <v/>
      </c>
      <c r="D383" s="12"/>
      <c r="E383" s="12"/>
      <c r="F383" s="12"/>
      <c r="G383" s="16"/>
      <c r="H383" s="16"/>
      <c r="I383" s="16"/>
      <c r="J383" s="16"/>
      <c r="K383" s="17" t="str">
        <f aca="false">IF(A383="","",_xlfn.TEXTJOIN(",",TRUE(),G383:J383))</f>
        <v/>
      </c>
      <c r="L383" s="12"/>
    </row>
    <row r="384" customFormat="false" ht="16.5" hidden="false" customHeight="true" outlineLevel="0" collapsed="false">
      <c r="A384" s="11"/>
      <c r="B384" s="12"/>
      <c r="C384" s="13" t="str">
        <f aca="false">IF(A384="","",DATE(VALUE(LEFT(A384,4)),VALUE(MID(A384,5,2)),VALUE(MID(A384,7,2))))</f>
        <v/>
      </c>
      <c r="D384" s="12"/>
      <c r="E384" s="12"/>
      <c r="F384" s="12"/>
      <c r="G384" s="16"/>
      <c r="H384" s="16"/>
      <c r="I384" s="16"/>
      <c r="J384" s="16"/>
      <c r="K384" s="17" t="str">
        <f aca="false">IF(A384="","",_xlfn.TEXTJOIN(",",TRUE(),G384:J384))</f>
        <v/>
      </c>
      <c r="L384" s="12"/>
    </row>
    <row r="385" customFormat="false" ht="16.5" hidden="false" customHeight="true" outlineLevel="0" collapsed="false">
      <c r="A385" s="11"/>
      <c r="B385" s="12"/>
      <c r="C385" s="13" t="str">
        <f aca="false">IF(A385="","",DATE(VALUE(LEFT(A385,4)),VALUE(MID(A385,5,2)),VALUE(MID(A385,7,2))))</f>
        <v/>
      </c>
      <c r="D385" s="12"/>
      <c r="E385" s="12"/>
      <c r="F385" s="12"/>
      <c r="G385" s="16"/>
      <c r="H385" s="16"/>
      <c r="I385" s="16"/>
      <c r="J385" s="16"/>
      <c r="K385" s="17" t="str">
        <f aca="false">IF(A385="","",_xlfn.TEXTJOIN(",",TRUE(),G385:J385))</f>
        <v/>
      </c>
      <c r="L385" s="12"/>
    </row>
    <row r="386" customFormat="false" ht="16.5" hidden="false" customHeight="true" outlineLevel="0" collapsed="false">
      <c r="A386" s="11"/>
      <c r="B386" s="12"/>
      <c r="C386" s="13" t="str">
        <f aca="false">IF(A386="","",DATE(VALUE(LEFT(A386,4)),VALUE(MID(A386,5,2)),VALUE(MID(A386,7,2))))</f>
        <v/>
      </c>
      <c r="D386" s="12"/>
      <c r="E386" s="12"/>
      <c r="F386" s="12"/>
      <c r="G386" s="16"/>
      <c r="H386" s="16"/>
      <c r="I386" s="16"/>
      <c r="J386" s="16"/>
      <c r="K386" s="17" t="str">
        <f aca="false">IF(A386="","",_xlfn.TEXTJOIN(",",TRUE(),G386:J386))</f>
        <v/>
      </c>
      <c r="L386" s="12"/>
    </row>
    <row r="387" customFormat="false" ht="16.5" hidden="false" customHeight="true" outlineLevel="0" collapsed="false">
      <c r="A387" s="11"/>
      <c r="B387" s="12"/>
      <c r="C387" s="13" t="str">
        <f aca="false">IF(A387="","",DATE(VALUE(LEFT(A387,4)),VALUE(MID(A387,5,2)),VALUE(MID(A387,7,2))))</f>
        <v/>
      </c>
      <c r="D387" s="12"/>
      <c r="E387" s="12"/>
      <c r="F387" s="12"/>
      <c r="G387" s="16"/>
      <c r="H387" s="16"/>
      <c r="I387" s="16"/>
      <c r="J387" s="16"/>
      <c r="K387" s="17" t="str">
        <f aca="false">IF(A387="","",_xlfn.TEXTJOIN(",",TRUE(),G387:J387))</f>
        <v/>
      </c>
      <c r="L387" s="12"/>
    </row>
    <row r="388" customFormat="false" ht="16.5" hidden="false" customHeight="true" outlineLevel="0" collapsed="false">
      <c r="A388" s="11"/>
      <c r="B388" s="12"/>
      <c r="C388" s="13" t="str">
        <f aca="false">IF(A388="","",DATE(VALUE(LEFT(A388,4)),VALUE(MID(A388,5,2)),VALUE(MID(A388,7,2))))</f>
        <v/>
      </c>
      <c r="D388" s="12"/>
      <c r="E388" s="12"/>
      <c r="F388" s="12"/>
      <c r="G388" s="16"/>
      <c r="H388" s="16"/>
      <c r="I388" s="16"/>
      <c r="J388" s="16"/>
      <c r="K388" s="17" t="str">
        <f aca="false">IF(A388="","",_xlfn.TEXTJOIN(",",TRUE(),G388:J388))</f>
        <v/>
      </c>
      <c r="L388" s="12"/>
    </row>
    <row r="389" customFormat="false" ht="16.5" hidden="false" customHeight="true" outlineLevel="0" collapsed="false">
      <c r="A389" s="11"/>
      <c r="B389" s="12"/>
      <c r="C389" s="13" t="str">
        <f aca="false">IF(A389="","",DATE(VALUE(LEFT(A389,4)),VALUE(MID(A389,5,2)),VALUE(MID(A389,7,2))))</f>
        <v/>
      </c>
      <c r="D389" s="12"/>
      <c r="E389" s="12"/>
      <c r="F389" s="12"/>
      <c r="G389" s="16"/>
      <c r="H389" s="16"/>
      <c r="I389" s="16"/>
      <c r="J389" s="16"/>
      <c r="K389" s="17" t="str">
        <f aca="false">IF(A389="","",_xlfn.TEXTJOIN(",",TRUE(),G389:J389))</f>
        <v/>
      </c>
      <c r="L389" s="12"/>
    </row>
    <row r="390" customFormat="false" ht="16.5" hidden="false" customHeight="true" outlineLevel="0" collapsed="false">
      <c r="A390" s="11"/>
      <c r="B390" s="12"/>
      <c r="C390" s="13" t="str">
        <f aca="false">IF(A390="","",DATE(VALUE(LEFT(A390,4)),VALUE(MID(A390,5,2)),VALUE(MID(A390,7,2))))</f>
        <v/>
      </c>
      <c r="D390" s="12"/>
      <c r="E390" s="12"/>
      <c r="F390" s="12"/>
      <c r="G390" s="16"/>
      <c r="H390" s="16"/>
      <c r="I390" s="16"/>
      <c r="J390" s="16"/>
      <c r="K390" s="17" t="str">
        <f aca="false">IF(A390="","",_xlfn.TEXTJOIN(",",TRUE(),G390:J390))</f>
        <v/>
      </c>
      <c r="L390" s="12"/>
    </row>
    <row r="391" customFormat="false" ht="16.5" hidden="false" customHeight="true" outlineLevel="0" collapsed="false">
      <c r="A391" s="11"/>
      <c r="B391" s="12"/>
      <c r="C391" s="13" t="str">
        <f aca="false">IF(A391="","",DATE(VALUE(LEFT(A391,4)),VALUE(MID(A391,5,2)),VALUE(MID(A391,7,2))))</f>
        <v/>
      </c>
      <c r="D391" s="12"/>
      <c r="E391" s="12"/>
      <c r="F391" s="12"/>
      <c r="G391" s="16"/>
      <c r="H391" s="16"/>
      <c r="I391" s="16"/>
      <c r="J391" s="16"/>
      <c r="K391" s="17" t="str">
        <f aca="false">IF(A391="","",_xlfn.TEXTJOIN(",",TRUE(),G391:J391))</f>
        <v/>
      </c>
      <c r="L391" s="12"/>
    </row>
    <row r="392" customFormat="false" ht="16.5" hidden="false" customHeight="true" outlineLevel="0" collapsed="false">
      <c r="A392" s="11"/>
      <c r="B392" s="12"/>
      <c r="C392" s="13" t="str">
        <f aca="false">IF(A392="","",DATE(VALUE(LEFT(A392,4)),VALUE(MID(A392,5,2)),VALUE(MID(A392,7,2))))</f>
        <v/>
      </c>
      <c r="D392" s="12"/>
      <c r="E392" s="12"/>
      <c r="F392" s="12"/>
      <c r="G392" s="16"/>
      <c r="H392" s="16"/>
      <c r="I392" s="16"/>
      <c r="J392" s="16"/>
      <c r="K392" s="17" t="str">
        <f aca="false">IF(A392="","",_xlfn.TEXTJOIN(",",TRUE(),G392:J392))</f>
        <v/>
      </c>
      <c r="L392" s="12"/>
    </row>
    <row r="393" customFormat="false" ht="16.5" hidden="false" customHeight="true" outlineLevel="0" collapsed="false">
      <c r="A393" s="11"/>
      <c r="B393" s="12"/>
      <c r="C393" s="13" t="str">
        <f aca="false">IF(A393="","",DATE(VALUE(LEFT(A393,4)),VALUE(MID(A393,5,2)),VALUE(MID(A393,7,2))))</f>
        <v/>
      </c>
      <c r="D393" s="12"/>
      <c r="E393" s="12"/>
      <c r="F393" s="12"/>
      <c r="G393" s="16"/>
      <c r="H393" s="16"/>
      <c r="I393" s="16"/>
      <c r="J393" s="16"/>
      <c r="K393" s="17" t="str">
        <f aca="false">IF(A393="","",_xlfn.TEXTJOIN(",",TRUE(),G393:J393))</f>
        <v/>
      </c>
      <c r="L393" s="12"/>
    </row>
    <row r="394" customFormat="false" ht="16.5" hidden="false" customHeight="true" outlineLevel="0" collapsed="false">
      <c r="A394" s="11"/>
      <c r="B394" s="12"/>
      <c r="C394" s="13" t="str">
        <f aca="false">IF(A394="","",DATE(VALUE(LEFT(A394,4)),VALUE(MID(A394,5,2)),VALUE(MID(A394,7,2))))</f>
        <v/>
      </c>
      <c r="D394" s="12"/>
      <c r="E394" s="12"/>
      <c r="F394" s="12"/>
      <c r="G394" s="16"/>
      <c r="H394" s="16"/>
      <c r="I394" s="16"/>
      <c r="J394" s="16"/>
      <c r="K394" s="17" t="str">
        <f aca="false">IF(A394="","",_xlfn.TEXTJOIN(",",TRUE(),G394:J394))</f>
        <v/>
      </c>
      <c r="L394" s="12"/>
    </row>
    <row r="395" customFormat="false" ht="16.5" hidden="false" customHeight="true" outlineLevel="0" collapsed="false">
      <c r="A395" s="11"/>
      <c r="B395" s="12"/>
      <c r="C395" s="13" t="str">
        <f aca="false">IF(A395="","",DATE(VALUE(LEFT(A395,4)),VALUE(MID(A395,5,2)),VALUE(MID(A395,7,2))))</f>
        <v/>
      </c>
      <c r="D395" s="12"/>
      <c r="E395" s="12"/>
      <c r="F395" s="12"/>
      <c r="G395" s="16"/>
      <c r="H395" s="16"/>
      <c r="I395" s="16"/>
      <c r="J395" s="16"/>
      <c r="K395" s="17" t="str">
        <f aca="false">IF(A395="","",_xlfn.TEXTJOIN(",",TRUE(),G395:J395))</f>
        <v/>
      </c>
      <c r="L395" s="12"/>
    </row>
    <row r="396" customFormat="false" ht="16.5" hidden="false" customHeight="true" outlineLevel="0" collapsed="false">
      <c r="A396" s="11"/>
      <c r="B396" s="12"/>
      <c r="C396" s="13" t="str">
        <f aca="false">IF(A396="","",DATE(VALUE(LEFT(A396,4)),VALUE(MID(A396,5,2)),VALUE(MID(A396,7,2))))</f>
        <v/>
      </c>
      <c r="D396" s="12"/>
      <c r="E396" s="12"/>
      <c r="F396" s="12"/>
      <c r="G396" s="16"/>
      <c r="H396" s="16"/>
      <c r="I396" s="16"/>
      <c r="J396" s="16"/>
      <c r="K396" s="17" t="str">
        <f aca="false">IF(A396="","",_xlfn.TEXTJOIN(",",TRUE(),G396:J396))</f>
        <v/>
      </c>
      <c r="L396" s="12"/>
    </row>
    <row r="397" customFormat="false" ht="16.5" hidden="false" customHeight="true" outlineLevel="0" collapsed="false">
      <c r="A397" s="11"/>
      <c r="B397" s="12"/>
      <c r="C397" s="13" t="str">
        <f aca="false">IF(A397="","",DATE(VALUE(LEFT(A397,4)),VALUE(MID(A397,5,2)),VALUE(MID(A397,7,2))))</f>
        <v/>
      </c>
      <c r="D397" s="12"/>
      <c r="E397" s="12"/>
      <c r="F397" s="12"/>
      <c r="G397" s="16"/>
      <c r="H397" s="16"/>
      <c r="I397" s="16"/>
      <c r="J397" s="16"/>
      <c r="K397" s="17" t="str">
        <f aca="false">IF(A397="","",_xlfn.TEXTJOIN(",",TRUE(),G397:J397))</f>
        <v/>
      </c>
      <c r="L397" s="12"/>
    </row>
    <row r="398" customFormat="false" ht="16.5" hidden="false" customHeight="true" outlineLevel="0" collapsed="false">
      <c r="A398" s="11"/>
      <c r="B398" s="12"/>
      <c r="C398" s="13" t="str">
        <f aca="false">IF(A398="","",DATE(VALUE(LEFT(A398,4)),VALUE(MID(A398,5,2)),VALUE(MID(A398,7,2))))</f>
        <v/>
      </c>
      <c r="D398" s="12"/>
      <c r="E398" s="12"/>
      <c r="F398" s="12"/>
      <c r="G398" s="16"/>
      <c r="H398" s="16"/>
      <c r="I398" s="16"/>
      <c r="J398" s="16"/>
      <c r="K398" s="17" t="str">
        <f aca="false">IF(A398="","",_xlfn.TEXTJOIN(",",TRUE(),G398:J398))</f>
        <v/>
      </c>
      <c r="L398" s="12"/>
    </row>
    <row r="399" customFormat="false" ht="16.5" hidden="false" customHeight="true" outlineLevel="0" collapsed="false">
      <c r="A399" s="11"/>
      <c r="B399" s="12"/>
      <c r="C399" s="13" t="str">
        <f aca="false">IF(A399="","",DATE(VALUE(LEFT(A399,4)),VALUE(MID(A399,5,2)),VALUE(MID(A399,7,2))))</f>
        <v/>
      </c>
      <c r="D399" s="12"/>
      <c r="E399" s="12"/>
      <c r="F399" s="12"/>
      <c r="G399" s="16"/>
      <c r="H399" s="16"/>
      <c r="I399" s="16"/>
      <c r="J399" s="16"/>
      <c r="K399" s="17" t="str">
        <f aca="false">IF(A399="","",_xlfn.TEXTJOIN(",",TRUE(),G399:J399))</f>
        <v/>
      </c>
      <c r="L399" s="12"/>
    </row>
    <row r="400" customFormat="false" ht="16.5" hidden="false" customHeight="true" outlineLevel="0" collapsed="false">
      <c r="A400" s="11"/>
      <c r="B400" s="12"/>
      <c r="C400" s="13" t="str">
        <f aca="false">IF(A400="","",DATE(VALUE(LEFT(A400,4)),VALUE(MID(A400,5,2)),VALUE(MID(A400,7,2))))</f>
        <v/>
      </c>
      <c r="D400" s="12"/>
      <c r="E400" s="12"/>
      <c r="F400" s="12"/>
      <c r="G400" s="16"/>
      <c r="H400" s="16"/>
      <c r="I400" s="16"/>
      <c r="J400" s="16"/>
      <c r="K400" s="17" t="str">
        <f aca="false">IF(A400="","",_xlfn.TEXTJOIN(",",TRUE(),G400:J400))</f>
        <v/>
      </c>
      <c r="L400" s="12"/>
    </row>
    <row r="401" customFormat="false" ht="16.5" hidden="false" customHeight="true" outlineLevel="0" collapsed="false">
      <c r="A401" s="11"/>
      <c r="B401" s="12"/>
      <c r="C401" s="13" t="str">
        <f aca="false">IF(A401="","",DATE(VALUE(LEFT(A401,4)),VALUE(MID(A401,5,2)),VALUE(MID(A401,7,2))))</f>
        <v/>
      </c>
      <c r="D401" s="12"/>
      <c r="E401" s="12"/>
      <c r="F401" s="12"/>
      <c r="G401" s="16"/>
      <c r="H401" s="16"/>
      <c r="I401" s="16"/>
      <c r="J401" s="16"/>
      <c r="K401" s="17" t="str">
        <f aca="false">IF(A401="","",_xlfn.TEXTJOIN(",",TRUE(),G401:J401))</f>
        <v/>
      </c>
      <c r="L401" s="12"/>
    </row>
    <row r="402" customFormat="false" ht="16.5" hidden="false" customHeight="true" outlineLevel="0" collapsed="false">
      <c r="A402" s="11"/>
      <c r="B402" s="12"/>
      <c r="C402" s="13" t="str">
        <f aca="false">IF(A402="","",DATE(VALUE(LEFT(A402,4)),VALUE(MID(A402,5,2)),VALUE(MID(A402,7,2))))</f>
        <v/>
      </c>
      <c r="D402" s="12"/>
      <c r="E402" s="12"/>
      <c r="F402" s="12"/>
      <c r="G402" s="16"/>
      <c r="H402" s="16"/>
      <c r="I402" s="16"/>
      <c r="J402" s="16"/>
      <c r="K402" s="17" t="str">
        <f aca="false">IF(A402="","",_xlfn.TEXTJOIN(",",TRUE(),G402:J402))</f>
        <v/>
      </c>
      <c r="L402" s="12"/>
    </row>
    <row r="403" customFormat="false" ht="16.5" hidden="false" customHeight="true" outlineLevel="0" collapsed="false">
      <c r="A403" s="11"/>
      <c r="B403" s="12"/>
      <c r="C403" s="13" t="str">
        <f aca="false">IF(A403="","",DATE(VALUE(LEFT(A403,4)),VALUE(MID(A403,5,2)),VALUE(MID(A403,7,2))))</f>
        <v/>
      </c>
      <c r="D403" s="12"/>
      <c r="E403" s="12"/>
      <c r="F403" s="12"/>
      <c r="G403" s="16"/>
      <c r="H403" s="16"/>
      <c r="I403" s="16"/>
      <c r="J403" s="16"/>
      <c r="K403" s="17" t="str">
        <f aca="false">IF(A403="","",_xlfn.TEXTJOIN(",",TRUE(),G403:J403))</f>
        <v/>
      </c>
      <c r="L403" s="12"/>
    </row>
    <row r="404" customFormat="false" ht="16.5" hidden="false" customHeight="true" outlineLevel="0" collapsed="false">
      <c r="A404" s="11"/>
      <c r="B404" s="12"/>
      <c r="C404" s="13" t="str">
        <f aca="false">IF(A404="","",DATE(VALUE(LEFT(A404,4)),VALUE(MID(A404,5,2)),VALUE(MID(A404,7,2))))</f>
        <v/>
      </c>
      <c r="D404" s="12"/>
      <c r="E404" s="12"/>
      <c r="F404" s="12"/>
      <c r="G404" s="16"/>
      <c r="H404" s="16"/>
      <c r="I404" s="16"/>
      <c r="J404" s="16"/>
      <c r="K404" s="17" t="str">
        <f aca="false">IF(A404="","",_xlfn.TEXTJOIN(",",TRUE(),G404:J404))</f>
        <v/>
      </c>
      <c r="L404" s="12"/>
    </row>
    <row r="405" customFormat="false" ht="16.5" hidden="false" customHeight="true" outlineLevel="0" collapsed="false">
      <c r="A405" s="11"/>
      <c r="B405" s="12"/>
      <c r="C405" s="13" t="str">
        <f aca="false">IF(A405="","",DATE(VALUE(LEFT(A405,4)),VALUE(MID(A405,5,2)),VALUE(MID(A405,7,2))))</f>
        <v/>
      </c>
      <c r="D405" s="12"/>
      <c r="E405" s="12"/>
      <c r="F405" s="12"/>
      <c r="G405" s="16"/>
      <c r="H405" s="16"/>
      <c r="I405" s="16"/>
      <c r="J405" s="16"/>
      <c r="K405" s="17" t="str">
        <f aca="false">IF(A405="","",_xlfn.TEXTJOIN(",",TRUE(),G405:J405))</f>
        <v/>
      </c>
      <c r="L405" s="12"/>
    </row>
    <row r="406" customFormat="false" ht="16.5" hidden="false" customHeight="true" outlineLevel="0" collapsed="false">
      <c r="A406" s="11"/>
      <c r="B406" s="12"/>
      <c r="C406" s="13" t="str">
        <f aca="false">IF(A406="","",DATE(VALUE(LEFT(A406,4)),VALUE(MID(A406,5,2)),VALUE(MID(A406,7,2))))</f>
        <v/>
      </c>
      <c r="D406" s="12"/>
      <c r="E406" s="12"/>
      <c r="F406" s="12"/>
      <c r="G406" s="16"/>
      <c r="H406" s="16"/>
      <c r="I406" s="16"/>
      <c r="J406" s="16"/>
      <c r="K406" s="17" t="str">
        <f aca="false">IF(A406="","",_xlfn.TEXTJOIN(",",TRUE(),G406:J406))</f>
        <v/>
      </c>
      <c r="L406" s="12"/>
    </row>
    <row r="407" customFormat="false" ht="16.5" hidden="false" customHeight="true" outlineLevel="0" collapsed="false">
      <c r="A407" s="11"/>
      <c r="B407" s="12"/>
      <c r="C407" s="13" t="str">
        <f aca="false">IF(A407="","",DATE(VALUE(LEFT(A407,4)),VALUE(MID(A407,5,2)),VALUE(MID(A407,7,2))))</f>
        <v/>
      </c>
      <c r="D407" s="12"/>
      <c r="E407" s="12"/>
      <c r="F407" s="12"/>
      <c r="G407" s="16"/>
      <c r="H407" s="16"/>
      <c r="I407" s="16"/>
      <c r="J407" s="16"/>
      <c r="K407" s="17" t="str">
        <f aca="false">IF(A407="","",_xlfn.TEXTJOIN(",",TRUE(),G407:J407))</f>
        <v/>
      </c>
      <c r="L407" s="12"/>
    </row>
    <row r="408" customFormat="false" ht="16.5" hidden="false" customHeight="true" outlineLevel="0" collapsed="false">
      <c r="A408" s="11"/>
      <c r="B408" s="12"/>
      <c r="C408" s="13" t="str">
        <f aca="false">IF(A408="","",DATE(VALUE(LEFT(A408,4)),VALUE(MID(A408,5,2)),VALUE(MID(A408,7,2))))</f>
        <v/>
      </c>
      <c r="D408" s="12"/>
      <c r="E408" s="12"/>
      <c r="F408" s="12"/>
      <c r="G408" s="16"/>
      <c r="H408" s="16"/>
      <c r="I408" s="16"/>
      <c r="J408" s="16"/>
      <c r="K408" s="17" t="str">
        <f aca="false">IF(A408="","",_xlfn.TEXTJOIN(",",TRUE(),G408:J408))</f>
        <v/>
      </c>
      <c r="L408" s="12"/>
    </row>
    <row r="409" customFormat="false" ht="16.5" hidden="false" customHeight="true" outlineLevel="0" collapsed="false">
      <c r="A409" s="11"/>
      <c r="B409" s="12"/>
      <c r="C409" s="13" t="str">
        <f aca="false">IF(A409="","",DATE(VALUE(LEFT(A409,4)),VALUE(MID(A409,5,2)),VALUE(MID(A409,7,2))))</f>
        <v/>
      </c>
      <c r="D409" s="12"/>
      <c r="E409" s="12"/>
      <c r="F409" s="12"/>
      <c r="G409" s="16"/>
      <c r="H409" s="16"/>
      <c r="I409" s="16"/>
      <c r="J409" s="16"/>
      <c r="K409" s="17" t="str">
        <f aca="false">IF(A409="","",_xlfn.TEXTJOIN(",",TRUE(),G409:J409))</f>
        <v/>
      </c>
      <c r="L409" s="12"/>
    </row>
    <row r="410" customFormat="false" ht="16.5" hidden="false" customHeight="true" outlineLevel="0" collapsed="false">
      <c r="A410" s="11"/>
      <c r="B410" s="12"/>
      <c r="C410" s="13" t="str">
        <f aca="false">IF(A410="","",DATE(VALUE(LEFT(A410,4)),VALUE(MID(A410,5,2)),VALUE(MID(A410,7,2))))</f>
        <v/>
      </c>
      <c r="D410" s="12"/>
      <c r="E410" s="12"/>
      <c r="F410" s="12"/>
      <c r="G410" s="16"/>
      <c r="H410" s="16"/>
      <c r="I410" s="16"/>
      <c r="J410" s="16"/>
      <c r="K410" s="17" t="str">
        <f aca="false">IF(A410="","",_xlfn.TEXTJOIN(",",TRUE(),G410:J410))</f>
        <v/>
      </c>
      <c r="L410" s="12"/>
    </row>
    <row r="411" customFormat="false" ht="16.5" hidden="false" customHeight="true" outlineLevel="0" collapsed="false">
      <c r="A411" s="11"/>
      <c r="B411" s="12"/>
      <c r="C411" s="13" t="str">
        <f aca="false">IF(A411="","",DATE(VALUE(LEFT(A411,4)),VALUE(MID(A411,5,2)),VALUE(MID(A411,7,2))))</f>
        <v/>
      </c>
      <c r="D411" s="12"/>
      <c r="E411" s="12"/>
      <c r="F411" s="12"/>
      <c r="G411" s="16"/>
      <c r="H411" s="16"/>
      <c r="I411" s="16"/>
      <c r="J411" s="16"/>
      <c r="K411" s="17" t="str">
        <f aca="false">IF(A411="","",_xlfn.TEXTJOIN(",",TRUE(),G411:J411))</f>
        <v/>
      </c>
      <c r="L411" s="12"/>
    </row>
    <row r="412" customFormat="false" ht="16.5" hidden="false" customHeight="true" outlineLevel="0" collapsed="false">
      <c r="A412" s="11"/>
      <c r="B412" s="12"/>
      <c r="C412" s="13" t="str">
        <f aca="false">IF(A412="","",DATE(VALUE(LEFT(A412,4)),VALUE(MID(A412,5,2)),VALUE(MID(A412,7,2))))</f>
        <v/>
      </c>
      <c r="D412" s="12"/>
      <c r="E412" s="12"/>
      <c r="F412" s="12"/>
      <c r="G412" s="16"/>
      <c r="H412" s="16"/>
      <c r="I412" s="16"/>
      <c r="J412" s="16"/>
      <c r="K412" s="17" t="str">
        <f aca="false">IF(A412="","",_xlfn.TEXTJOIN(",",TRUE(),G412:J412))</f>
        <v/>
      </c>
      <c r="L412" s="12"/>
    </row>
    <row r="413" customFormat="false" ht="16.5" hidden="false" customHeight="true" outlineLevel="0" collapsed="false">
      <c r="A413" s="11"/>
      <c r="B413" s="12"/>
      <c r="C413" s="13" t="str">
        <f aca="false">IF(A413="","",DATE(VALUE(LEFT(A413,4)),VALUE(MID(A413,5,2)),VALUE(MID(A413,7,2))))</f>
        <v/>
      </c>
      <c r="D413" s="12"/>
      <c r="E413" s="12"/>
      <c r="F413" s="12"/>
      <c r="G413" s="16"/>
      <c r="H413" s="16"/>
      <c r="I413" s="16"/>
      <c r="J413" s="16"/>
      <c r="K413" s="17" t="str">
        <f aca="false">IF(A413="","",_xlfn.TEXTJOIN(",",TRUE(),G413:J413))</f>
        <v/>
      </c>
      <c r="L413" s="12"/>
    </row>
    <row r="414" customFormat="false" ht="16.5" hidden="false" customHeight="true" outlineLevel="0" collapsed="false">
      <c r="A414" s="11"/>
      <c r="B414" s="12"/>
      <c r="C414" s="13" t="str">
        <f aca="false">IF(A414="","",DATE(VALUE(LEFT(A414,4)),VALUE(MID(A414,5,2)),VALUE(MID(A414,7,2))))</f>
        <v/>
      </c>
      <c r="D414" s="12"/>
      <c r="E414" s="12"/>
      <c r="F414" s="12"/>
      <c r="G414" s="16"/>
      <c r="H414" s="16"/>
      <c r="I414" s="16"/>
      <c r="J414" s="16"/>
      <c r="K414" s="17" t="str">
        <f aca="false">IF(A414="","",_xlfn.TEXTJOIN(",",TRUE(),G414:J414))</f>
        <v/>
      </c>
      <c r="L414" s="12"/>
    </row>
    <row r="415" customFormat="false" ht="16.5" hidden="false" customHeight="true" outlineLevel="0" collapsed="false">
      <c r="A415" s="11"/>
      <c r="B415" s="12"/>
      <c r="C415" s="13" t="str">
        <f aca="false">IF(A415="","",DATE(VALUE(LEFT(A415,4)),VALUE(MID(A415,5,2)),VALUE(MID(A415,7,2))))</f>
        <v/>
      </c>
      <c r="D415" s="12"/>
      <c r="E415" s="12"/>
      <c r="F415" s="12"/>
      <c r="G415" s="16"/>
      <c r="H415" s="16"/>
      <c r="I415" s="16"/>
      <c r="J415" s="16"/>
      <c r="K415" s="17" t="str">
        <f aca="false">IF(A415="","",_xlfn.TEXTJOIN(",",TRUE(),G415:J415))</f>
        <v/>
      </c>
      <c r="L415" s="12"/>
    </row>
    <row r="416" customFormat="false" ht="16.5" hidden="false" customHeight="true" outlineLevel="0" collapsed="false">
      <c r="A416" s="11"/>
      <c r="B416" s="12"/>
      <c r="C416" s="13" t="str">
        <f aca="false">IF(A416="","",DATE(VALUE(LEFT(A416,4)),VALUE(MID(A416,5,2)),VALUE(MID(A416,7,2))))</f>
        <v/>
      </c>
      <c r="D416" s="12"/>
      <c r="E416" s="12"/>
      <c r="F416" s="12"/>
      <c r="G416" s="16"/>
      <c r="H416" s="16"/>
      <c r="I416" s="16"/>
      <c r="J416" s="16"/>
      <c r="K416" s="17" t="str">
        <f aca="false">IF(A416="","",_xlfn.TEXTJOIN(",",TRUE(),G416:J416))</f>
        <v/>
      </c>
      <c r="L416" s="12"/>
    </row>
    <row r="417" customFormat="false" ht="16.5" hidden="false" customHeight="true" outlineLevel="0" collapsed="false">
      <c r="A417" s="11"/>
      <c r="B417" s="12"/>
      <c r="C417" s="13" t="str">
        <f aca="false">IF(A417="","",DATE(VALUE(LEFT(A417,4)),VALUE(MID(A417,5,2)),VALUE(MID(A417,7,2))))</f>
        <v/>
      </c>
      <c r="D417" s="12"/>
      <c r="E417" s="12"/>
      <c r="F417" s="12"/>
      <c r="G417" s="16"/>
      <c r="H417" s="16"/>
      <c r="I417" s="16"/>
      <c r="J417" s="16"/>
      <c r="K417" s="17" t="str">
        <f aca="false">IF(A417="","",_xlfn.TEXTJOIN(",",TRUE(),G417:J417))</f>
        <v/>
      </c>
      <c r="L417" s="12"/>
    </row>
    <row r="418" customFormat="false" ht="16.5" hidden="false" customHeight="true" outlineLevel="0" collapsed="false">
      <c r="A418" s="11"/>
      <c r="B418" s="12"/>
      <c r="C418" s="13" t="str">
        <f aca="false">IF(A418="","",DATE(VALUE(LEFT(A418,4)),VALUE(MID(A418,5,2)),VALUE(MID(A418,7,2))))</f>
        <v/>
      </c>
      <c r="D418" s="12"/>
      <c r="E418" s="12"/>
      <c r="F418" s="12"/>
      <c r="G418" s="16"/>
      <c r="H418" s="16"/>
      <c r="I418" s="16"/>
      <c r="J418" s="16"/>
      <c r="K418" s="17" t="str">
        <f aca="false">IF(A418="","",_xlfn.TEXTJOIN(",",TRUE(),G418:J418))</f>
        <v/>
      </c>
      <c r="L418" s="12"/>
    </row>
    <row r="419" customFormat="false" ht="16.5" hidden="false" customHeight="true" outlineLevel="0" collapsed="false">
      <c r="A419" s="11"/>
      <c r="B419" s="12"/>
      <c r="C419" s="13" t="str">
        <f aca="false">IF(A419="","",DATE(VALUE(LEFT(A419,4)),VALUE(MID(A419,5,2)),VALUE(MID(A419,7,2))))</f>
        <v/>
      </c>
      <c r="D419" s="12"/>
      <c r="E419" s="12"/>
      <c r="F419" s="12"/>
      <c r="G419" s="16"/>
      <c r="H419" s="16"/>
      <c r="I419" s="16"/>
      <c r="J419" s="16"/>
      <c r="K419" s="17" t="str">
        <f aca="false">IF(A419="","",_xlfn.TEXTJOIN(",",TRUE(),G419:J419))</f>
        <v/>
      </c>
      <c r="L419" s="12"/>
    </row>
    <row r="420" customFormat="false" ht="16.5" hidden="false" customHeight="true" outlineLevel="0" collapsed="false">
      <c r="A420" s="11"/>
      <c r="B420" s="12"/>
      <c r="C420" s="13" t="str">
        <f aca="false">IF(A420="","",DATE(VALUE(LEFT(A420,4)),VALUE(MID(A420,5,2)),VALUE(MID(A420,7,2))))</f>
        <v/>
      </c>
      <c r="D420" s="12"/>
      <c r="E420" s="12"/>
      <c r="F420" s="12"/>
      <c r="G420" s="16"/>
      <c r="H420" s="16"/>
      <c r="I420" s="16"/>
      <c r="J420" s="16"/>
      <c r="K420" s="17" t="str">
        <f aca="false">IF(A420="","",_xlfn.TEXTJOIN(",",TRUE(),G420:J420))</f>
        <v/>
      </c>
      <c r="L420" s="12"/>
    </row>
    <row r="421" customFormat="false" ht="16.5" hidden="false" customHeight="true" outlineLevel="0" collapsed="false">
      <c r="A421" s="11"/>
      <c r="B421" s="12"/>
      <c r="C421" s="13" t="str">
        <f aca="false">IF(A421="","",DATE(VALUE(LEFT(A421,4)),VALUE(MID(A421,5,2)),VALUE(MID(A421,7,2))))</f>
        <v/>
      </c>
      <c r="D421" s="12"/>
      <c r="E421" s="12"/>
      <c r="F421" s="12"/>
      <c r="G421" s="16"/>
      <c r="H421" s="16"/>
      <c r="I421" s="16"/>
      <c r="J421" s="16"/>
      <c r="K421" s="17" t="str">
        <f aca="false">IF(A421="","",_xlfn.TEXTJOIN(",",TRUE(),G421:J421))</f>
        <v/>
      </c>
      <c r="L421" s="12"/>
    </row>
    <row r="422" customFormat="false" ht="16.5" hidden="false" customHeight="true" outlineLevel="0" collapsed="false">
      <c r="A422" s="11"/>
      <c r="B422" s="12"/>
      <c r="C422" s="13" t="str">
        <f aca="false">IF(A422="","",DATE(VALUE(LEFT(A422,4)),VALUE(MID(A422,5,2)),VALUE(MID(A422,7,2))))</f>
        <v/>
      </c>
      <c r="D422" s="12"/>
      <c r="E422" s="12"/>
      <c r="F422" s="12"/>
      <c r="G422" s="16"/>
      <c r="H422" s="16"/>
      <c r="I422" s="16"/>
      <c r="J422" s="16"/>
      <c r="K422" s="17" t="str">
        <f aca="false">IF(A422="","",_xlfn.TEXTJOIN(",",TRUE(),G422:J422))</f>
        <v/>
      </c>
      <c r="L422" s="12"/>
    </row>
    <row r="423" customFormat="false" ht="16.5" hidden="false" customHeight="true" outlineLevel="0" collapsed="false">
      <c r="A423" s="11"/>
      <c r="B423" s="12"/>
      <c r="C423" s="13" t="str">
        <f aca="false">IF(A423="","",DATE(VALUE(LEFT(A423,4)),VALUE(MID(A423,5,2)),VALUE(MID(A423,7,2))))</f>
        <v/>
      </c>
      <c r="D423" s="12"/>
      <c r="E423" s="12"/>
      <c r="F423" s="12"/>
      <c r="G423" s="16"/>
      <c r="H423" s="16"/>
      <c r="I423" s="16"/>
      <c r="J423" s="16"/>
      <c r="K423" s="17" t="str">
        <f aca="false">IF(A423="","",_xlfn.TEXTJOIN(",",TRUE(),G423:J423))</f>
        <v/>
      </c>
      <c r="L423" s="12"/>
    </row>
    <row r="424" customFormat="false" ht="16.5" hidden="false" customHeight="true" outlineLevel="0" collapsed="false">
      <c r="A424" s="11"/>
      <c r="B424" s="12"/>
      <c r="C424" s="13" t="str">
        <f aca="false">IF(A424="","",DATE(VALUE(LEFT(A424,4)),VALUE(MID(A424,5,2)),VALUE(MID(A424,7,2))))</f>
        <v/>
      </c>
      <c r="D424" s="12"/>
      <c r="E424" s="12"/>
      <c r="F424" s="12"/>
      <c r="G424" s="16"/>
      <c r="H424" s="16"/>
      <c r="I424" s="16"/>
      <c r="J424" s="16"/>
      <c r="K424" s="17" t="str">
        <f aca="false">IF(A424="","",_xlfn.TEXTJOIN(",",TRUE(),G424:J424))</f>
        <v/>
      </c>
      <c r="L424" s="12"/>
    </row>
    <row r="425" customFormat="false" ht="16.5" hidden="false" customHeight="true" outlineLevel="0" collapsed="false">
      <c r="A425" s="11"/>
      <c r="B425" s="12"/>
      <c r="C425" s="13" t="str">
        <f aca="false">IF(A425="","",DATE(VALUE(LEFT(A425,4)),VALUE(MID(A425,5,2)),VALUE(MID(A425,7,2))))</f>
        <v/>
      </c>
      <c r="D425" s="12"/>
      <c r="E425" s="12"/>
      <c r="F425" s="12"/>
      <c r="G425" s="16"/>
      <c r="H425" s="16"/>
      <c r="I425" s="16"/>
      <c r="J425" s="16"/>
      <c r="K425" s="17" t="str">
        <f aca="false">IF(A425="","",_xlfn.TEXTJOIN(",",TRUE(),G425:J425))</f>
        <v/>
      </c>
      <c r="L425" s="12"/>
    </row>
    <row r="426" customFormat="false" ht="16.5" hidden="false" customHeight="true" outlineLevel="0" collapsed="false">
      <c r="A426" s="11"/>
      <c r="B426" s="12"/>
      <c r="C426" s="13" t="str">
        <f aca="false">IF(A426="","",DATE(VALUE(LEFT(A426,4)),VALUE(MID(A426,5,2)),VALUE(MID(A426,7,2))))</f>
        <v/>
      </c>
      <c r="D426" s="12"/>
      <c r="E426" s="12"/>
      <c r="F426" s="12"/>
      <c r="G426" s="16"/>
      <c r="H426" s="16"/>
      <c r="I426" s="16"/>
      <c r="J426" s="16"/>
      <c r="K426" s="17" t="str">
        <f aca="false">IF(A426="","",_xlfn.TEXTJOIN(",",TRUE(),G426:J426))</f>
        <v/>
      </c>
      <c r="L426" s="12"/>
    </row>
    <row r="427" customFormat="false" ht="16.5" hidden="false" customHeight="true" outlineLevel="0" collapsed="false">
      <c r="A427" s="11"/>
      <c r="B427" s="12"/>
      <c r="C427" s="13" t="str">
        <f aca="false">IF(A427="","",DATE(VALUE(LEFT(A427,4)),VALUE(MID(A427,5,2)),VALUE(MID(A427,7,2))))</f>
        <v/>
      </c>
      <c r="D427" s="12"/>
      <c r="E427" s="12"/>
      <c r="F427" s="12"/>
      <c r="G427" s="16"/>
      <c r="H427" s="16"/>
      <c r="I427" s="16"/>
      <c r="J427" s="16"/>
      <c r="K427" s="17" t="str">
        <f aca="false">IF(A427="","",_xlfn.TEXTJOIN(",",TRUE(),G427:J427))</f>
        <v/>
      </c>
      <c r="L427" s="12"/>
    </row>
    <row r="428" customFormat="false" ht="16.5" hidden="false" customHeight="true" outlineLevel="0" collapsed="false">
      <c r="A428" s="11"/>
      <c r="B428" s="12"/>
      <c r="C428" s="13" t="str">
        <f aca="false">IF(A428="","",DATE(VALUE(LEFT(A428,4)),VALUE(MID(A428,5,2)),VALUE(MID(A428,7,2))))</f>
        <v/>
      </c>
      <c r="D428" s="12"/>
      <c r="E428" s="12"/>
      <c r="F428" s="12"/>
      <c r="G428" s="16"/>
      <c r="H428" s="16"/>
      <c r="I428" s="16"/>
      <c r="J428" s="16"/>
      <c r="K428" s="17" t="str">
        <f aca="false">IF(A428="","",_xlfn.TEXTJOIN(",",TRUE(),G428:J428))</f>
        <v/>
      </c>
      <c r="L428" s="12"/>
    </row>
    <row r="429" customFormat="false" ht="16.5" hidden="false" customHeight="true" outlineLevel="0" collapsed="false">
      <c r="A429" s="11"/>
      <c r="B429" s="12"/>
      <c r="C429" s="13" t="str">
        <f aca="false">IF(A429="","",DATE(VALUE(LEFT(A429,4)),VALUE(MID(A429,5,2)),VALUE(MID(A429,7,2))))</f>
        <v/>
      </c>
      <c r="D429" s="12"/>
      <c r="E429" s="12"/>
      <c r="F429" s="12"/>
      <c r="G429" s="16"/>
      <c r="H429" s="16"/>
      <c r="I429" s="16"/>
      <c r="J429" s="16"/>
      <c r="K429" s="17" t="str">
        <f aca="false">IF(A429="","",_xlfn.TEXTJOIN(",",TRUE(),G429:J429))</f>
        <v/>
      </c>
      <c r="L429" s="12"/>
    </row>
    <row r="430" customFormat="false" ht="16.5" hidden="false" customHeight="true" outlineLevel="0" collapsed="false">
      <c r="A430" s="11"/>
      <c r="B430" s="12"/>
      <c r="C430" s="13" t="str">
        <f aca="false">IF(A430="","",DATE(VALUE(LEFT(A430,4)),VALUE(MID(A430,5,2)),VALUE(MID(A430,7,2))))</f>
        <v/>
      </c>
      <c r="D430" s="12"/>
      <c r="E430" s="12"/>
      <c r="F430" s="12"/>
      <c r="G430" s="16"/>
      <c r="H430" s="16"/>
      <c r="I430" s="16"/>
      <c r="J430" s="16"/>
      <c r="K430" s="17" t="str">
        <f aca="false">IF(A430="","",_xlfn.TEXTJOIN(",",TRUE(),G430:J430))</f>
        <v/>
      </c>
      <c r="L430" s="12"/>
    </row>
    <row r="431" customFormat="false" ht="16.5" hidden="false" customHeight="true" outlineLevel="0" collapsed="false">
      <c r="A431" s="11"/>
      <c r="B431" s="12"/>
      <c r="C431" s="13" t="str">
        <f aca="false">IF(A431="","",DATE(VALUE(LEFT(A431,4)),VALUE(MID(A431,5,2)),VALUE(MID(A431,7,2))))</f>
        <v/>
      </c>
      <c r="D431" s="12"/>
      <c r="E431" s="12"/>
      <c r="F431" s="12"/>
      <c r="G431" s="16"/>
      <c r="H431" s="16"/>
      <c r="I431" s="16"/>
      <c r="J431" s="16"/>
      <c r="K431" s="17" t="str">
        <f aca="false">IF(A431="","",_xlfn.TEXTJOIN(",",TRUE(),G431:J431))</f>
        <v/>
      </c>
      <c r="L431" s="12"/>
    </row>
    <row r="432" customFormat="false" ht="16.5" hidden="false" customHeight="true" outlineLevel="0" collapsed="false">
      <c r="A432" s="11"/>
      <c r="B432" s="12"/>
      <c r="C432" s="13" t="str">
        <f aca="false">IF(A432="","",DATE(VALUE(LEFT(A432,4)),VALUE(MID(A432,5,2)),VALUE(MID(A432,7,2))))</f>
        <v/>
      </c>
      <c r="D432" s="12"/>
      <c r="E432" s="12"/>
      <c r="F432" s="12"/>
      <c r="G432" s="16"/>
      <c r="H432" s="16"/>
      <c r="I432" s="16"/>
      <c r="J432" s="16"/>
      <c r="K432" s="17" t="str">
        <f aca="false">IF(A432="","",_xlfn.TEXTJOIN(",",TRUE(),G432:J432))</f>
        <v/>
      </c>
      <c r="L432" s="12"/>
    </row>
    <row r="433" customFormat="false" ht="16.5" hidden="false" customHeight="true" outlineLevel="0" collapsed="false">
      <c r="A433" s="11"/>
      <c r="B433" s="12"/>
      <c r="C433" s="13" t="str">
        <f aca="false">IF(A433="","",DATE(VALUE(LEFT(A433,4)),VALUE(MID(A433,5,2)),VALUE(MID(A433,7,2))))</f>
        <v/>
      </c>
      <c r="D433" s="12"/>
      <c r="E433" s="12"/>
      <c r="F433" s="12"/>
      <c r="G433" s="16"/>
      <c r="H433" s="16"/>
      <c r="I433" s="16"/>
      <c r="J433" s="16"/>
      <c r="K433" s="17" t="str">
        <f aca="false">IF(A433="","",_xlfn.TEXTJOIN(",",TRUE(),G433:J433))</f>
        <v/>
      </c>
      <c r="L433" s="12"/>
    </row>
    <row r="434" customFormat="false" ht="16.5" hidden="false" customHeight="true" outlineLevel="0" collapsed="false">
      <c r="A434" s="11"/>
      <c r="B434" s="12"/>
      <c r="C434" s="13" t="str">
        <f aca="false">IF(A434="","",DATE(VALUE(LEFT(A434,4)),VALUE(MID(A434,5,2)),VALUE(MID(A434,7,2))))</f>
        <v/>
      </c>
      <c r="D434" s="12"/>
      <c r="E434" s="12"/>
      <c r="F434" s="12"/>
      <c r="G434" s="16"/>
      <c r="H434" s="16"/>
      <c r="I434" s="16"/>
      <c r="J434" s="16"/>
      <c r="K434" s="17" t="str">
        <f aca="false">IF(A434="","",_xlfn.TEXTJOIN(",",TRUE(),G434:J434))</f>
        <v/>
      </c>
      <c r="L434" s="12"/>
    </row>
    <row r="435" customFormat="false" ht="16.5" hidden="false" customHeight="true" outlineLevel="0" collapsed="false">
      <c r="A435" s="11"/>
      <c r="B435" s="12"/>
      <c r="C435" s="13" t="str">
        <f aca="false">IF(A435="","",DATE(VALUE(LEFT(A435,4)),VALUE(MID(A435,5,2)),VALUE(MID(A435,7,2))))</f>
        <v/>
      </c>
      <c r="D435" s="12"/>
      <c r="E435" s="12"/>
      <c r="F435" s="12"/>
      <c r="G435" s="16"/>
      <c r="H435" s="16"/>
      <c r="I435" s="16"/>
      <c r="J435" s="16"/>
      <c r="K435" s="17" t="str">
        <f aca="false">IF(A435="","",_xlfn.TEXTJOIN(",",TRUE(),G435:J435))</f>
        <v/>
      </c>
      <c r="L435" s="12"/>
    </row>
    <row r="436" customFormat="false" ht="16.5" hidden="false" customHeight="true" outlineLevel="0" collapsed="false">
      <c r="A436" s="11"/>
      <c r="B436" s="12"/>
      <c r="C436" s="13" t="str">
        <f aca="false">IF(A436="","",DATE(VALUE(LEFT(A436,4)),VALUE(MID(A436,5,2)),VALUE(MID(A436,7,2))))</f>
        <v/>
      </c>
      <c r="D436" s="12"/>
      <c r="E436" s="12"/>
      <c r="F436" s="12"/>
      <c r="G436" s="16"/>
      <c r="H436" s="16"/>
      <c r="I436" s="16"/>
      <c r="J436" s="16"/>
      <c r="K436" s="17" t="str">
        <f aca="false">IF(A436="","",_xlfn.TEXTJOIN(",",TRUE(),G436:J436))</f>
        <v/>
      </c>
      <c r="L436" s="12"/>
    </row>
    <row r="437" customFormat="false" ht="16.5" hidden="false" customHeight="true" outlineLevel="0" collapsed="false">
      <c r="A437" s="11"/>
      <c r="B437" s="12"/>
      <c r="C437" s="13" t="str">
        <f aca="false">IF(A437="","",DATE(VALUE(LEFT(A437,4)),VALUE(MID(A437,5,2)),VALUE(MID(A437,7,2))))</f>
        <v/>
      </c>
      <c r="D437" s="12"/>
      <c r="E437" s="12"/>
      <c r="F437" s="12"/>
      <c r="G437" s="16"/>
      <c r="H437" s="16"/>
      <c r="I437" s="16"/>
      <c r="J437" s="16"/>
      <c r="K437" s="17" t="str">
        <f aca="false">IF(A437="","",_xlfn.TEXTJOIN(",",TRUE(),G437:J437))</f>
        <v/>
      </c>
      <c r="L437" s="12"/>
    </row>
    <row r="438" customFormat="false" ht="16.5" hidden="false" customHeight="true" outlineLevel="0" collapsed="false">
      <c r="A438" s="11"/>
      <c r="B438" s="12"/>
      <c r="C438" s="13" t="str">
        <f aca="false">IF(A438="","",DATE(VALUE(LEFT(A438,4)),VALUE(MID(A438,5,2)),VALUE(MID(A438,7,2))))</f>
        <v/>
      </c>
      <c r="D438" s="12"/>
      <c r="E438" s="12"/>
      <c r="F438" s="12"/>
      <c r="G438" s="16"/>
      <c r="H438" s="16"/>
      <c r="I438" s="16"/>
      <c r="J438" s="16"/>
      <c r="K438" s="17" t="str">
        <f aca="false">IF(A438="","",_xlfn.TEXTJOIN(",",TRUE(),G438:J438))</f>
        <v/>
      </c>
      <c r="L438" s="12"/>
    </row>
    <row r="439" customFormat="false" ht="16.5" hidden="false" customHeight="true" outlineLevel="0" collapsed="false">
      <c r="A439" s="11"/>
      <c r="B439" s="12"/>
      <c r="C439" s="13" t="str">
        <f aca="false">IF(A439="","",DATE(VALUE(LEFT(A439,4)),VALUE(MID(A439,5,2)),VALUE(MID(A439,7,2))))</f>
        <v/>
      </c>
      <c r="D439" s="12"/>
      <c r="E439" s="12"/>
      <c r="F439" s="12"/>
      <c r="G439" s="16"/>
      <c r="H439" s="16"/>
      <c r="I439" s="16"/>
      <c r="J439" s="16"/>
      <c r="K439" s="17" t="str">
        <f aca="false">IF(A439="","",_xlfn.TEXTJOIN(",",TRUE(),G439:J439))</f>
        <v/>
      </c>
      <c r="L439" s="12"/>
    </row>
    <row r="440" customFormat="false" ht="16.5" hidden="false" customHeight="true" outlineLevel="0" collapsed="false">
      <c r="A440" s="11"/>
      <c r="B440" s="12"/>
      <c r="C440" s="13" t="str">
        <f aca="false">IF(A440="","",DATE(VALUE(LEFT(A440,4)),VALUE(MID(A440,5,2)),VALUE(MID(A440,7,2))))</f>
        <v/>
      </c>
      <c r="D440" s="12"/>
      <c r="E440" s="12"/>
      <c r="F440" s="12"/>
      <c r="G440" s="16"/>
      <c r="H440" s="16"/>
      <c r="I440" s="16"/>
      <c r="J440" s="16"/>
      <c r="K440" s="17" t="str">
        <f aca="false">IF(A440="","",_xlfn.TEXTJOIN(",",TRUE(),G440:J440))</f>
        <v/>
      </c>
      <c r="L440" s="12"/>
    </row>
    <row r="441" customFormat="false" ht="16.5" hidden="false" customHeight="true" outlineLevel="0" collapsed="false">
      <c r="A441" s="11"/>
      <c r="B441" s="12"/>
      <c r="C441" s="13" t="str">
        <f aca="false">IF(A441="","",DATE(VALUE(LEFT(A441,4)),VALUE(MID(A441,5,2)),VALUE(MID(A441,7,2))))</f>
        <v/>
      </c>
      <c r="D441" s="12"/>
      <c r="E441" s="12"/>
      <c r="F441" s="12"/>
      <c r="G441" s="16"/>
      <c r="H441" s="16"/>
      <c r="I441" s="16"/>
      <c r="J441" s="16"/>
      <c r="K441" s="17" t="str">
        <f aca="false">IF(A441="","",_xlfn.TEXTJOIN(",",TRUE(),G441:J441))</f>
        <v/>
      </c>
      <c r="L441" s="12"/>
    </row>
    <row r="442" customFormat="false" ht="16.5" hidden="false" customHeight="true" outlineLevel="0" collapsed="false">
      <c r="A442" s="11"/>
      <c r="B442" s="12"/>
      <c r="C442" s="13" t="str">
        <f aca="false">IF(A442="","",DATE(VALUE(LEFT(A442,4)),VALUE(MID(A442,5,2)),VALUE(MID(A442,7,2))))</f>
        <v/>
      </c>
      <c r="D442" s="12"/>
      <c r="E442" s="12"/>
      <c r="F442" s="12"/>
      <c r="G442" s="16"/>
      <c r="H442" s="16"/>
      <c r="I442" s="16"/>
      <c r="J442" s="16"/>
      <c r="K442" s="17" t="str">
        <f aca="false">IF(A442="","",_xlfn.TEXTJOIN(",",TRUE(),G442:J442))</f>
        <v/>
      </c>
      <c r="L442" s="12"/>
    </row>
    <row r="443" customFormat="false" ht="16.5" hidden="false" customHeight="true" outlineLevel="0" collapsed="false">
      <c r="A443" s="11"/>
      <c r="B443" s="12"/>
      <c r="C443" s="13" t="str">
        <f aca="false">IF(A443="","",DATE(VALUE(LEFT(A443,4)),VALUE(MID(A443,5,2)),VALUE(MID(A443,7,2))))</f>
        <v/>
      </c>
      <c r="D443" s="12"/>
      <c r="E443" s="12"/>
      <c r="F443" s="12"/>
      <c r="G443" s="16"/>
      <c r="H443" s="16"/>
      <c r="I443" s="16"/>
      <c r="J443" s="16"/>
      <c r="K443" s="17" t="str">
        <f aca="false">IF(A443="","",_xlfn.TEXTJOIN(",",TRUE(),G443:J443))</f>
        <v/>
      </c>
      <c r="L443" s="12"/>
    </row>
    <row r="444" customFormat="false" ht="16.5" hidden="false" customHeight="true" outlineLevel="0" collapsed="false">
      <c r="A444" s="11"/>
      <c r="B444" s="12"/>
      <c r="C444" s="13" t="str">
        <f aca="false">IF(A444="","",DATE(VALUE(LEFT(A444,4)),VALUE(MID(A444,5,2)),VALUE(MID(A444,7,2))))</f>
        <v/>
      </c>
      <c r="D444" s="12"/>
      <c r="E444" s="12"/>
      <c r="F444" s="12"/>
      <c r="G444" s="16"/>
      <c r="H444" s="16"/>
      <c r="I444" s="16"/>
      <c r="J444" s="16"/>
      <c r="K444" s="17" t="str">
        <f aca="false">IF(A444="","",_xlfn.TEXTJOIN(",",TRUE(),G444:J444))</f>
        <v/>
      </c>
      <c r="L444" s="12"/>
    </row>
    <row r="445" customFormat="false" ht="16.5" hidden="false" customHeight="true" outlineLevel="0" collapsed="false">
      <c r="A445" s="11"/>
      <c r="B445" s="12"/>
      <c r="C445" s="13" t="str">
        <f aca="false">IF(A445="","",DATE(VALUE(LEFT(A445,4)),VALUE(MID(A445,5,2)),VALUE(MID(A445,7,2))))</f>
        <v/>
      </c>
      <c r="D445" s="12"/>
      <c r="E445" s="12"/>
      <c r="F445" s="12"/>
      <c r="G445" s="16"/>
      <c r="H445" s="16"/>
      <c r="I445" s="16"/>
      <c r="J445" s="16"/>
      <c r="K445" s="17" t="str">
        <f aca="false">IF(A445="","",_xlfn.TEXTJOIN(",",TRUE(),G445:J445))</f>
        <v/>
      </c>
      <c r="L445" s="12"/>
    </row>
    <row r="446" customFormat="false" ht="16.5" hidden="false" customHeight="true" outlineLevel="0" collapsed="false">
      <c r="A446" s="11"/>
      <c r="B446" s="12"/>
      <c r="C446" s="13" t="str">
        <f aca="false">IF(A446="","",DATE(VALUE(LEFT(A446,4)),VALUE(MID(A446,5,2)),VALUE(MID(A446,7,2))))</f>
        <v/>
      </c>
      <c r="D446" s="12"/>
      <c r="E446" s="12"/>
      <c r="F446" s="12"/>
      <c r="G446" s="16"/>
      <c r="H446" s="16"/>
      <c r="I446" s="16"/>
      <c r="J446" s="16"/>
      <c r="K446" s="17" t="str">
        <f aca="false">IF(A446="","",_xlfn.TEXTJOIN(",",TRUE(),G446:J446))</f>
        <v/>
      </c>
      <c r="L446" s="12"/>
    </row>
    <row r="447" customFormat="false" ht="16.5" hidden="false" customHeight="true" outlineLevel="0" collapsed="false">
      <c r="A447" s="11"/>
      <c r="B447" s="12"/>
      <c r="C447" s="13" t="str">
        <f aca="false">IF(A447="","",DATE(VALUE(LEFT(A447,4)),VALUE(MID(A447,5,2)),VALUE(MID(A447,7,2))))</f>
        <v/>
      </c>
      <c r="D447" s="12"/>
      <c r="E447" s="12"/>
      <c r="F447" s="12"/>
      <c r="G447" s="16"/>
      <c r="H447" s="16"/>
      <c r="I447" s="16"/>
      <c r="J447" s="16"/>
      <c r="K447" s="17" t="str">
        <f aca="false">IF(A447="","",_xlfn.TEXTJOIN(",",TRUE(),G447:J447))</f>
        <v/>
      </c>
      <c r="L447" s="12"/>
    </row>
    <row r="448" customFormat="false" ht="16.5" hidden="false" customHeight="true" outlineLevel="0" collapsed="false">
      <c r="A448" s="11"/>
      <c r="B448" s="12"/>
      <c r="C448" s="13" t="str">
        <f aca="false">IF(A448="","",DATE(VALUE(LEFT(A448,4)),VALUE(MID(A448,5,2)),VALUE(MID(A448,7,2))))</f>
        <v/>
      </c>
      <c r="D448" s="12"/>
      <c r="E448" s="12"/>
      <c r="F448" s="12"/>
      <c r="G448" s="16"/>
      <c r="H448" s="16"/>
      <c r="I448" s="16"/>
      <c r="J448" s="16"/>
      <c r="K448" s="17" t="str">
        <f aca="false">IF(A448="","",_xlfn.TEXTJOIN(",",TRUE(),G448:J448))</f>
        <v/>
      </c>
      <c r="L448" s="12"/>
    </row>
    <row r="449" customFormat="false" ht="16.5" hidden="false" customHeight="true" outlineLevel="0" collapsed="false">
      <c r="A449" s="11"/>
      <c r="B449" s="12"/>
      <c r="C449" s="13" t="str">
        <f aca="false">IF(A449="","",DATE(VALUE(LEFT(A449,4)),VALUE(MID(A449,5,2)),VALUE(MID(A449,7,2))))</f>
        <v/>
      </c>
      <c r="D449" s="12"/>
      <c r="E449" s="12"/>
      <c r="F449" s="12"/>
      <c r="G449" s="16"/>
      <c r="H449" s="16"/>
      <c r="I449" s="16"/>
      <c r="J449" s="16"/>
      <c r="K449" s="17" t="str">
        <f aca="false">IF(A449="","",_xlfn.TEXTJOIN(",",TRUE(),G449:J449))</f>
        <v/>
      </c>
      <c r="L449" s="12"/>
    </row>
    <row r="450" customFormat="false" ht="16.5" hidden="false" customHeight="true" outlineLevel="0" collapsed="false">
      <c r="A450" s="11"/>
      <c r="B450" s="12"/>
      <c r="C450" s="13" t="str">
        <f aca="false">IF(A450="","",DATE(VALUE(LEFT(A450,4)),VALUE(MID(A450,5,2)),VALUE(MID(A450,7,2))))</f>
        <v/>
      </c>
      <c r="D450" s="12"/>
      <c r="E450" s="12"/>
      <c r="F450" s="12"/>
      <c r="G450" s="16"/>
      <c r="H450" s="16"/>
      <c r="I450" s="16"/>
      <c r="J450" s="16"/>
      <c r="K450" s="17" t="str">
        <f aca="false">IF(A450="","",_xlfn.TEXTJOIN(",",TRUE(),G450:J450))</f>
        <v/>
      </c>
      <c r="L450" s="12"/>
    </row>
    <row r="451" customFormat="false" ht="16.5" hidden="false" customHeight="true" outlineLevel="0" collapsed="false">
      <c r="A451" s="11"/>
      <c r="B451" s="12"/>
      <c r="C451" s="13" t="str">
        <f aca="false">IF(A451="","",DATE(VALUE(LEFT(A451,4)),VALUE(MID(A451,5,2)),VALUE(MID(A451,7,2))))</f>
        <v/>
      </c>
      <c r="D451" s="12"/>
      <c r="E451" s="12"/>
      <c r="F451" s="12"/>
      <c r="G451" s="16"/>
      <c r="H451" s="16"/>
      <c r="I451" s="16"/>
      <c r="J451" s="16"/>
      <c r="K451" s="17" t="str">
        <f aca="false">IF(A451="","",_xlfn.TEXTJOIN(",",TRUE(),G451:J451))</f>
        <v/>
      </c>
      <c r="L451" s="12"/>
    </row>
    <row r="452" customFormat="false" ht="16.5" hidden="false" customHeight="true" outlineLevel="0" collapsed="false">
      <c r="A452" s="11"/>
      <c r="B452" s="12"/>
      <c r="C452" s="13" t="str">
        <f aca="false">IF(A452="","",DATE(VALUE(LEFT(A452,4)),VALUE(MID(A452,5,2)),VALUE(MID(A452,7,2))))</f>
        <v/>
      </c>
      <c r="D452" s="12"/>
      <c r="E452" s="12"/>
      <c r="F452" s="12"/>
      <c r="G452" s="16"/>
      <c r="H452" s="16"/>
      <c r="I452" s="16"/>
      <c r="J452" s="16"/>
      <c r="K452" s="17" t="str">
        <f aca="false">IF(A452="","",_xlfn.TEXTJOIN(",",TRUE(),G452:J452))</f>
        <v/>
      </c>
      <c r="L452" s="12"/>
    </row>
    <row r="453" customFormat="false" ht="16.5" hidden="false" customHeight="true" outlineLevel="0" collapsed="false">
      <c r="A453" s="11"/>
      <c r="B453" s="12"/>
      <c r="C453" s="13" t="str">
        <f aca="false">IF(A453="","",DATE(VALUE(LEFT(A453,4)),VALUE(MID(A453,5,2)),VALUE(MID(A453,7,2))))</f>
        <v/>
      </c>
      <c r="D453" s="12"/>
      <c r="E453" s="12"/>
      <c r="F453" s="12"/>
      <c r="G453" s="16"/>
      <c r="H453" s="16"/>
      <c r="I453" s="16"/>
      <c r="J453" s="16"/>
      <c r="K453" s="17" t="str">
        <f aca="false">IF(A453="","",_xlfn.TEXTJOIN(",",TRUE(),G453:J453))</f>
        <v/>
      </c>
      <c r="L453" s="12"/>
    </row>
    <row r="454" customFormat="false" ht="16.5" hidden="false" customHeight="true" outlineLevel="0" collapsed="false">
      <c r="A454" s="11"/>
      <c r="B454" s="12"/>
      <c r="C454" s="13" t="str">
        <f aca="false">IF(A454="","",DATE(VALUE(LEFT(A454,4)),VALUE(MID(A454,5,2)),VALUE(MID(A454,7,2))))</f>
        <v/>
      </c>
      <c r="D454" s="12"/>
      <c r="E454" s="12"/>
      <c r="F454" s="12"/>
      <c r="G454" s="16"/>
      <c r="H454" s="16"/>
      <c r="I454" s="16"/>
      <c r="J454" s="16"/>
      <c r="K454" s="17" t="str">
        <f aca="false">IF(A454="","",_xlfn.TEXTJOIN(",",TRUE(),G454:J454))</f>
        <v/>
      </c>
      <c r="L454" s="12"/>
    </row>
    <row r="455" customFormat="false" ht="16.5" hidden="false" customHeight="true" outlineLevel="0" collapsed="false">
      <c r="A455" s="11"/>
      <c r="B455" s="12"/>
      <c r="C455" s="13" t="str">
        <f aca="false">IF(A455="","",DATE(VALUE(LEFT(A455,4)),VALUE(MID(A455,5,2)),VALUE(MID(A455,7,2))))</f>
        <v/>
      </c>
      <c r="D455" s="12"/>
      <c r="E455" s="12"/>
      <c r="F455" s="12"/>
      <c r="G455" s="16"/>
      <c r="H455" s="16"/>
      <c r="I455" s="16"/>
      <c r="J455" s="16"/>
      <c r="K455" s="17" t="str">
        <f aca="false">IF(A455="","",_xlfn.TEXTJOIN(",",TRUE(),G455:J455))</f>
        <v/>
      </c>
      <c r="L455" s="12"/>
    </row>
    <row r="456" customFormat="false" ht="16.5" hidden="false" customHeight="true" outlineLevel="0" collapsed="false">
      <c r="A456" s="11"/>
      <c r="B456" s="12"/>
      <c r="C456" s="13" t="str">
        <f aca="false">IF(A456="","",DATE(VALUE(LEFT(A456,4)),VALUE(MID(A456,5,2)),VALUE(MID(A456,7,2))))</f>
        <v/>
      </c>
      <c r="D456" s="12"/>
      <c r="E456" s="12"/>
      <c r="F456" s="12"/>
      <c r="G456" s="16"/>
      <c r="H456" s="16"/>
      <c r="I456" s="16"/>
      <c r="J456" s="16"/>
      <c r="K456" s="17" t="str">
        <f aca="false">IF(A456="","",_xlfn.TEXTJOIN(",",TRUE(),G456:J456))</f>
        <v/>
      </c>
      <c r="L456" s="12"/>
    </row>
    <row r="457" customFormat="false" ht="16.5" hidden="false" customHeight="true" outlineLevel="0" collapsed="false">
      <c r="A457" s="11"/>
      <c r="B457" s="12"/>
      <c r="C457" s="13" t="str">
        <f aca="false">IF(A457="","",DATE(VALUE(LEFT(A457,4)),VALUE(MID(A457,5,2)),VALUE(MID(A457,7,2))))</f>
        <v/>
      </c>
      <c r="D457" s="12"/>
      <c r="E457" s="12"/>
      <c r="F457" s="12"/>
      <c r="G457" s="16"/>
      <c r="H457" s="16"/>
      <c r="I457" s="16"/>
      <c r="J457" s="16"/>
      <c r="K457" s="17" t="str">
        <f aca="false">IF(A457="","",_xlfn.TEXTJOIN(",",TRUE(),G457:J457))</f>
        <v/>
      </c>
      <c r="L457" s="12"/>
    </row>
    <row r="458" customFormat="false" ht="16.5" hidden="false" customHeight="true" outlineLevel="0" collapsed="false">
      <c r="A458" s="11"/>
      <c r="B458" s="12"/>
      <c r="C458" s="13" t="str">
        <f aca="false">IF(A458="","",DATE(VALUE(LEFT(A458,4)),VALUE(MID(A458,5,2)),VALUE(MID(A458,7,2))))</f>
        <v/>
      </c>
      <c r="D458" s="12"/>
      <c r="E458" s="12"/>
      <c r="F458" s="12"/>
      <c r="G458" s="16"/>
      <c r="H458" s="16"/>
      <c r="I458" s="16"/>
      <c r="J458" s="16"/>
      <c r="K458" s="17" t="str">
        <f aca="false">IF(A458="","",_xlfn.TEXTJOIN(",",TRUE(),G458:J458))</f>
        <v/>
      </c>
      <c r="L458" s="12"/>
    </row>
    <row r="459" customFormat="false" ht="16.5" hidden="false" customHeight="true" outlineLevel="0" collapsed="false">
      <c r="A459" s="11"/>
      <c r="B459" s="12"/>
      <c r="C459" s="13" t="str">
        <f aca="false">IF(A459="","",DATE(VALUE(LEFT(A459,4)),VALUE(MID(A459,5,2)),VALUE(MID(A459,7,2))))</f>
        <v/>
      </c>
      <c r="D459" s="12"/>
      <c r="E459" s="12"/>
      <c r="F459" s="12"/>
      <c r="G459" s="16"/>
      <c r="H459" s="16"/>
      <c r="I459" s="16"/>
      <c r="J459" s="16"/>
      <c r="K459" s="17" t="str">
        <f aca="false">IF(A459="","",_xlfn.TEXTJOIN(",",TRUE(),G459:J459))</f>
        <v/>
      </c>
      <c r="L459" s="12"/>
    </row>
    <row r="460" customFormat="false" ht="16.5" hidden="false" customHeight="true" outlineLevel="0" collapsed="false">
      <c r="A460" s="11"/>
      <c r="B460" s="12"/>
      <c r="C460" s="13" t="str">
        <f aca="false">IF(A460="","",DATE(VALUE(LEFT(A460,4)),VALUE(MID(A460,5,2)),VALUE(MID(A460,7,2))))</f>
        <v/>
      </c>
      <c r="D460" s="12"/>
      <c r="E460" s="12"/>
      <c r="F460" s="12"/>
      <c r="G460" s="16"/>
      <c r="H460" s="16"/>
      <c r="I460" s="16"/>
      <c r="J460" s="16"/>
      <c r="K460" s="17" t="str">
        <f aca="false">IF(A460="","",_xlfn.TEXTJOIN(",",TRUE(),G460:J460))</f>
        <v/>
      </c>
      <c r="L460" s="12"/>
    </row>
    <row r="461" customFormat="false" ht="16.5" hidden="false" customHeight="true" outlineLevel="0" collapsed="false">
      <c r="A461" s="11"/>
      <c r="B461" s="12"/>
      <c r="C461" s="13" t="str">
        <f aca="false">IF(A461="","",DATE(VALUE(LEFT(A461,4)),VALUE(MID(A461,5,2)),VALUE(MID(A461,7,2))))</f>
        <v/>
      </c>
      <c r="D461" s="12"/>
      <c r="E461" s="12"/>
      <c r="F461" s="12"/>
      <c r="G461" s="16"/>
      <c r="H461" s="16"/>
      <c r="I461" s="16"/>
      <c r="J461" s="16"/>
      <c r="K461" s="17" t="str">
        <f aca="false">IF(A461="","",_xlfn.TEXTJOIN(",",TRUE(),G461:J461))</f>
        <v/>
      </c>
      <c r="L461" s="12"/>
    </row>
    <row r="462" customFormat="false" ht="16.5" hidden="false" customHeight="true" outlineLevel="0" collapsed="false">
      <c r="A462" s="11"/>
      <c r="B462" s="12"/>
      <c r="C462" s="13" t="str">
        <f aca="false">IF(A462="","",DATE(VALUE(LEFT(A462,4)),VALUE(MID(A462,5,2)),VALUE(MID(A462,7,2))))</f>
        <v/>
      </c>
      <c r="D462" s="12"/>
      <c r="E462" s="12"/>
      <c r="F462" s="12"/>
      <c r="G462" s="16"/>
      <c r="H462" s="16"/>
      <c r="I462" s="16"/>
      <c r="J462" s="16"/>
      <c r="K462" s="17" t="str">
        <f aca="false">IF(A462="","",_xlfn.TEXTJOIN(",",TRUE(),G462:J462))</f>
        <v/>
      </c>
      <c r="L462" s="12"/>
    </row>
    <row r="463" customFormat="false" ht="16.5" hidden="false" customHeight="true" outlineLevel="0" collapsed="false">
      <c r="A463" s="11"/>
      <c r="B463" s="12"/>
      <c r="C463" s="13" t="str">
        <f aca="false">IF(A463="","",DATE(VALUE(LEFT(A463,4)),VALUE(MID(A463,5,2)),VALUE(MID(A463,7,2))))</f>
        <v/>
      </c>
      <c r="D463" s="12"/>
      <c r="E463" s="12"/>
      <c r="F463" s="12"/>
      <c r="G463" s="16"/>
      <c r="H463" s="16"/>
      <c r="I463" s="16"/>
      <c r="J463" s="16"/>
      <c r="K463" s="17" t="str">
        <f aca="false">IF(A463="","",_xlfn.TEXTJOIN(",",TRUE(),G463:J463))</f>
        <v/>
      </c>
      <c r="L463" s="12"/>
    </row>
    <row r="464" customFormat="false" ht="16.5" hidden="false" customHeight="true" outlineLevel="0" collapsed="false">
      <c r="A464" s="11"/>
      <c r="B464" s="12"/>
      <c r="C464" s="13" t="str">
        <f aca="false">IF(A464="","",DATE(VALUE(LEFT(A464,4)),VALUE(MID(A464,5,2)),VALUE(MID(A464,7,2))))</f>
        <v/>
      </c>
      <c r="D464" s="12"/>
      <c r="E464" s="12"/>
      <c r="F464" s="12"/>
      <c r="G464" s="16"/>
      <c r="H464" s="16"/>
      <c r="I464" s="16"/>
      <c r="J464" s="16"/>
      <c r="K464" s="17" t="str">
        <f aca="false">IF(A464="","",_xlfn.TEXTJOIN(",",TRUE(),G464:J464))</f>
        <v/>
      </c>
      <c r="L464" s="12"/>
    </row>
    <row r="465" customFormat="false" ht="16.5" hidden="false" customHeight="true" outlineLevel="0" collapsed="false">
      <c r="A465" s="11"/>
      <c r="B465" s="12"/>
      <c r="C465" s="13" t="str">
        <f aca="false">IF(A465="","",DATE(VALUE(LEFT(A465,4)),VALUE(MID(A465,5,2)),VALUE(MID(A465,7,2))))</f>
        <v/>
      </c>
      <c r="D465" s="12"/>
      <c r="E465" s="12"/>
      <c r="F465" s="12"/>
      <c r="G465" s="16"/>
      <c r="H465" s="16"/>
      <c r="I465" s="16"/>
      <c r="J465" s="16"/>
      <c r="K465" s="17" t="str">
        <f aca="false">IF(A465="","",_xlfn.TEXTJOIN(",",TRUE(),G465:J465))</f>
        <v/>
      </c>
      <c r="L465" s="12"/>
    </row>
    <row r="466" customFormat="false" ht="16.5" hidden="false" customHeight="true" outlineLevel="0" collapsed="false">
      <c r="A466" s="11"/>
      <c r="B466" s="12"/>
      <c r="C466" s="13" t="str">
        <f aca="false">IF(A466="","",DATE(VALUE(LEFT(A466,4)),VALUE(MID(A466,5,2)),VALUE(MID(A466,7,2))))</f>
        <v/>
      </c>
      <c r="D466" s="12"/>
      <c r="E466" s="12"/>
      <c r="F466" s="12"/>
      <c r="G466" s="16"/>
      <c r="H466" s="16"/>
      <c r="I466" s="16"/>
      <c r="J466" s="16"/>
      <c r="K466" s="17" t="str">
        <f aca="false">IF(A466="","",_xlfn.TEXTJOIN(",",TRUE(),G466:J466))</f>
        <v/>
      </c>
      <c r="L466" s="12"/>
    </row>
    <row r="467" customFormat="false" ht="16.5" hidden="false" customHeight="true" outlineLevel="0" collapsed="false">
      <c r="A467" s="11"/>
      <c r="B467" s="12"/>
      <c r="C467" s="13" t="str">
        <f aca="false">IF(A467="","",DATE(VALUE(LEFT(A467,4)),VALUE(MID(A467,5,2)),VALUE(MID(A467,7,2))))</f>
        <v/>
      </c>
      <c r="D467" s="12"/>
      <c r="E467" s="12"/>
      <c r="F467" s="12"/>
      <c r="G467" s="16"/>
      <c r="H467" s="16"/>
      <c r="I467" s="16"/>
      <c r="J467" s="16"/>
      <c r="K467" s="17" t="str">
        <f aca="false">IF(A467="","",_xlfn.TEXTJOIN(",",TRUE(),G467:J467))</f>
        <v/>
      </c>
      <c r="L467" s="12"/>
    </row>
    <row r="468" customFormat="false" ht="16.5" hidden="false" customHeight="true" outlineLevel="0" collapsed="false">
      <c r="A468" s="11"/>
      <c r="B468" s="12"/>
      <c r="C468" s="13" t="str">
        <f aca="false">IF(A468="","",DATE(VALUE(LEFT(A468,4)),VALUE(MID(A468,5,2)),VALUE(MID(A468,7,2))))</f>
        <v/>
      </c>
      <c r="D468" s="12"/>
      <c r="E468" s="12"/>
      <c r="F468" s="12"/>
      <c r="G468" s="16"/>
      <c r="H468" s="16"/>
      <c r="I468" s="16"/>
      <c r="J468" s="16"/>
      <c r="K468" s="17" t="str">
        <f aca="false">IF(A468="","",_xlfn.TEXTJOIN(",",TRUE(),G468:J468))</f>
        <v/>
      </c>
      <c r="L468" s="12"/>
    </row>
    <row r="469" customFormat="false" ht="16.5" hidden="false" customHeight="true" outlineLevel="0" collapsed="false">
      <c r="A469" s="11"/>
      <c r="B469" s="12"/>
      <c r="C469" s="13" t="str">
        <f aca="false">IF(A469="","",DATE(VALUE(LEFT(A469,4)),VALUE(MID(A469,5,2)),VALUE(MID(A469,7,2))))</f>
        <v/>
      </c>
      <c r="D469" s="12"/>
      <c r="E469" s="12"/>
      <c r="F469" s="12"/>
      <c r="G469" s="16"/>
      <c r="H469" s="16"/>
      <c r="I469" s="16"/>
      <c r="J469" s="16"/>
      <c r="K469" s="17" t="str">
        <f aca="false">IF(A469="","",_xlfn.TEXTJOIN(",",TRUE(),G469:J469))</f>
        <v/>
      </c>
      <c r="L469" s="12"/>
    </row>
    <row r="470" customFormat="false" ht="16.5" hidden="false" customHeight="true" outlineLevel="0" collapsed="false">
      <c r="A470" s="11"/>
      <c r="B470" s="12"/>
      <c r="C470" s="13" t="str">
        <f aca="false">IF(A470="","",DATE(VALUE(LEFT(A470,4)),VALUE(MID(A470,5,2)),VALUE(MID(A470,7,2))))</f>
        <v/>
      </c>
      <c r="D470" s="12"/>
      <c r="E470" s="12"/>
      <c r="F470" s="12"/>
      <c r="G470" s="16"/>
      <c r="H470" s="16"/>
      <c r="I470" s="16"/>
      <c r="J470" s="16"/>
      <c r="K470" s="17" t="str">
        <f aca="false">IF(A470="","",_xlfn.TEXTJOIN(",",TRUE(),G470:J470))</f>
        <v/>
      </c>
      <c r="L470" s="12"/>
    </row>
    <row r="471" customFormat="false" ht="16.5" hidden="false" customHeight="true" outlineLevel="0" collapsed="false">
      <c r="A471" s="11"/>
      <c r="B471" s="12"/>
      <c r="C471" s="13" t="str">
        <f aca="false">IF(A471="","",DATE(VALUE(LEFT(A471,4)),VALUE(MID(A471,5,2)),VALUE(MID(A471,7,2))))</f>
        <v/>
      </c>
      <c r="D471" s="12"/>
      <c r="E471" s="12"/>
      <c r="F471" s="12"/>
      <c r="G471" s="16"/>
      <c r="H471" s="16"/>
      <c r="I471" s="16"/>
      <c r="J471" s="16"/>
      <c r="K471" s="17" t="str">
        <f aca="false">IF(A471="","",_xlfn.TEXTJOIN(",",TRUE(),G471:J471))</f>
        <v/>
      </c>
      <c r="L471" s="12"/>
    </row>
    <row r="472" customFormat="false" ht="16.5" hidden="false" customHeight="true" outlineLevel="0" collapsed="false">
      <c r="A472" s="11"/>
      <c r="B472" s="12"/>
      <c r="C472" s="13" t="str">
        <f aca="false">IF(A472="","",DATE(VALUE(LEFT(A472,4)),VALUE(MID(A472,5,2)),VALUE(MID(A472,7,2))))</f>
        <v/>
      </c>
      <c r="D472" s="12"/>
      <c r="E472" s="12"/>
      <c r="F472" s="12"/>
      <c r="G472" s="16"/>
      <c r="H472" s="16"/>
      <c r="I472" s="16"/>
      <c r="J472" s="16"/>
      <c r="K472" s="17" t="str">
        <f aca="false">IF(A472="","",_xlfn.TEXTJOIN(",",TRUE(),G472:J472))</f>
        <v/>
      </c>
      <c r="L472" s="12"/>
    </row>
    <row r="473" customFormat="false" ht="16.5" hidden="false" customHeight="true" outlineLevel="0" collapsed="false">
      <c r="A473" s="11"/>
      <c r="B473" s="12"/>
      <c r="C473" s="13" t="str">
        <f aca="false">IF(A473="","",DATE(VALUE(LEFT(A473,4)),VALUE(MID(A473,5,2)),VALUE(MID(A473,7,2))))</f>
        <v/>
      </c>
      <c r="D473" s="12"/>
      <c r="E473" s="12"/>
      <c r="F473" s="12"/>
      <c r="G473" s="16"/>
      <c r="H473" s="16"/>
      <c r="I473" s="16"/>
      <c r="J473" s="16"/>
      <c r="K473" s="17" t="str">
        <f aca="false">IF(A473="","",_xlfn.TEXTJOIN(",",TRUE(),G473:J473))</f>
        <v/>
      </c>
      <c r="L473" s="12"/>
    </row>
    <row r="474" customFormat="false" ht="16.5" hidden="false" customHeight="true" outlineLevel="0" collapsed="false">
      <c r="A474" s="11"/>
      <c r="B474" s="12"/>
      <c r="C474" s="13" t="str">
        <f aca="false">IF(A474="","",DATE(VALUE(LEFT(A474,4)),VALUE(MID(A474,5,2)),VALUE(MID(A474,7,2))))</f>
        <v/>
      </c>
      <c r="D474" s="12"/>
      <c r="E474" s="12"/>
      <c r="F474" s="12"/>
      <c r="G474" s="16"/>
      <c r="H474" s="16"/>
      <c r="I474" s="16"/>
      <c r="J474" s="16"/>
      <c r="K474" s="17" t="str">
        <f aca="false">IF(A474="","",_xlfn.TEXTJOIN(",",TRUE(),G474:J474))</f>
        <v/>
      </c>
      <c r="L474" s="12"/>
    </row>
    <row r="475" customFormat="false" ht="16.5" hidden="false" customHeight="true" outlineLevel="0" collapsed="false">
      <c r="A475" s="11"/>
      <c r="B475" s="12"/>
      <c r="C475" s="13" t="str">
        <f aca="false">IF(A475="","",DATE(VALUE(LEFT(A475,4)),VALUE(MID(A475,5,2)),VALUE(MID(A475,7,2))))</f>
        <v/>
      </c>
      <c r="D475" s="12"/>
      <c r="E475" s="12"/>
      <c r="F475" s="12"/>
      <c r="G475" s="16"/>
      <c r="H475" s="16"/>
      <c r="I475" s="16"/>
      <c r="J475" s="16"/>
      <c r="K475" s="17" t="str">
        <f aca="false">IF(A475="","",_xlfn.TEXTJOIN(",",TRUE(),G475:J475))</f>
        <v/>
      </c>
      <c r="L475" s="12"/>
    </row>
    <row r="476" customFormat="false" ht="16.5" hidden="false" customHeight="true" outlineLevel="0" collapsed="false">
      <c r="A476" s="11"/>
      <c r="B476" s="12"/>
      <c r="C476" s="13" t="str">
        <f aca="false">IF(A476="","",DATE(VALUE(LEFT(A476,4)),VALUE(MID(A476,5,2)),VALUE(MID(A476,7,2))))</f>
        <v/>
      </c>
      <c r="D476" s="12"/>
      <c r="E476" s="12"/>
      <c r="F476" s="12"/>
      <c r="G476" s="16"/>
      <c r="H476" s="16"/>
      <c r="I476" s="16"/>
      <c r="J476" s="16"/>
      <c r="K476" s="17" t="str">
        <f aca="false">IF(A476="","",_xlfn.TEXTJOIN(",",TRUE(),G476:J476))</f>
        <v/>
      </c>
      <c r="L476" s="12"/>
    </row>
    <row r="477" customFormat="false" ht="16.5" hidden="false" customHeight="true" outlineLevel="0" collapsed="false">
      <c r="A477" s="11"/>
      <c r="B477" s="12"/>
      <c r="C477" s="13" t="str">
        <f aca="false">IF(A477="","",DATE(VALUE(LEFT(A477,4)),VALUE(MID(A477,5,2)),VALUE(MID(A477,7,2))))</f>
        <v/>
      </c>
      <c r="D477" s="12"/>
      <c r="E477" s="12"/>
      <c r="F477" s="12"/>
      <c r="G477" s="16"/>
      <c r="H477" s="16"/>
      <c r="I477" s="16"/>
      <c r="J477" s="16"/>
      <c r="K477" s="17" t="str">
        <f aca="false">IF(A477="","",_xlfn.TEXTJOIN(",",TRUE(),G477:J477))</f>
        <v/>
      </c>
      <c r="L477" s="12"/>
    </row>
    <row r="478" customFormat="false" ht="16.5" hidden="false" customHeight="true" outlineLevel="0" collapsed="false">
      <c r="A478" s="11"/>
      <c r="B478" s="12"/>
      <c r="C478" s="13" t="str">
        <f aca="false">IF(A478="","",DATE(VALUE(LEFT(A478,4)),VALUE(MID(A478,5,2)),VALUE(MID(A478,7,2))))</f>
        <v/>
      </c>
      <c r="D478" s="12"/>
      <c r="E478" s="12"/>
      <c r="F478" s="12"/>
      <c r="G478" s="16"/>
      <c r="H478" s="16"/>
      <c r="I478" s="16"/>
      <c r="J478" s="16"/>
      <c r="K478" s="17" t="str">
        <f aca="false">IF(A478="","",_xlfn.TEXTJOIN(",",TRUE(),G478:J478))</f>
        <v/>
      </c>
      <c r="L478" s="12"/>
    </row>
    <row r="479" customFormat="false" ht="16.5" hidden="false" customHeight="true" outlineLevel="0" collapsed="false">
      <c r="A479" s="11"/>
      <c r="B479" s="12"/>
      <c r="C479" s="13" t="str">
        <f aca="false">IF(A479="","",DATE(VALUE(LEFT(A479,4)),VALUE(MID(A479,5,2)),VALUE(MID(A479,7,2))))</f>
        <v/>
      </c>
      <c r="D479" s="12"/>
      <c r="E479" s="12"/>
      <c r="F479" s="12"/>
      <c r="G479" s="16"/>
      <c r="H479" s="16"/>
      <c r="I479" s="16"/>
      <c r="J479" s="16"/>
      <c r="K479" s="17" t="str">
        <f aca="false">IF(A479="","",_xlfn.TEXTJOIN(",",TRUE(),G479:J479))</f>
        <v/>
      </c>
      <c r="L479" s="12"/>
    </row>
    <row r="480" customFormat="false" ht="16.5" hidden="false" customHeight="true" outlineLevel="0" collapsed="false">
      <c r="A480" s="11"/>
      <c r="B480" s="12"/>
      <c r="C480" s="13" t="str">
        <f aca="false">IF(A480="","",DATE(VALUE(LEFT(A480,4)),VALUE(MID(A480,5,2)),VALUE(MID(A480,7,2))))</f>
        <v/>
      </c>
      <c r="D480" s="12"/>
      <c r="E480" s="12"/>
      <c r="F480" s="12"/>
      <c r="G480" s="16"/>
      <c r="H480" s="16"/>
      <c r="I480" s="16"/>
      <c r="J480" s="16"/>
      <c r="K480" s="17" t="str">
        <f aca="false">IF(A480="","",_xlfn.TEXTJOIN(",",TRUE(),G480:J480))</f>
        <v/>
      </c>
      <c r="L480" s="12"/>
    </row>
    <row r="481" customFormat="false" ht="16.5" hidden="false" customHeight="true" outlineLevel="0" collapsed="false">
      <c r="A481" s="11"/>
      <c r="B481" s="12"/>
      <c r="C481" s="13" t="str">
        <f aca="false">IF(A481="","",DATE(VALUE(LEFT(A481,4)),VALUE(MID(A481,5,2)),VALUE(MID(A481,7,2))))</f>
        <v/>
      </c>
      <c r="D481" s="12"/>
      <c r="E481" s="12"/>
      <c r="F481" s="12"/>
      <c r="G481" s="16"/>
      <c r="H481" s="16"/>
      <c r="I481" s="16"/>
      <c r="J481" s="16"/>
      <c r="K481" s="17" t="str">
        <f aca="false">IF(A481="","",_xlfn.TEXTJOIN(",",TRUE(),G481:J481))</f>
        <v/>
      </c>
      <c r="L481" s="12"/>
    </row>
    <row r="482" customFormat="false" ht="16.5" hidden="false" customHeight="true" outlineLevel="0" collapsed="false">
      <c r="A482" s="11"/>
      <c r="B482" s="12"/>
      <c r="C482" s="13" t="str">
        <f aca="false">IF(A482="","",DATE(VALUE(LEFT(A482,4)),VALUE(MID(A482,5,2)),VALUE(MID(A482,7,2))))</f>
        <v/>
      </c>
      <c r="D482" s="12"/>
      <c r="E482" s="12"/>
      <c r="F482" s="12"/>
      <c r="G482" s="16"/>
      <c r="H482" s="16"/>
      <c r="I482" s="16"/>
      <c r="J482" s="16"/>
      <c r="K482" s="17" t="str">
        <f aca="false">IF(A482="","",_xlfn.TEXTJOIN(",",TRUE(),G482:J482))</f>
        <v/>
      </c>
      <c r="L482" s="12"/>
    </row>
    <row r="483" customFormat="false" ht="16.5" hidden="false" customHeight="true" outlineLevel="0" collapsed="false">
      <c r="A483" s="11"/>
      <c r="B483" s="12"/>
      <c r="C483" s="13" t="str">
        <f aca="false">IF(A483="","",DATE(VALUE(LEFT(A483,4)),VALUE(MID(A483,5,2)),VALUE(MID(A483,7,2))))</f>
        <v/>
      </c>
      <c r="D483" s="12"/>
      <c r="E483" s="12"/>
      <c r="F483" s="12"/>
      <c r="G483" s="16"/>
      <c r="H483" s="16"/>
      <c r="I483" s="16"/>
      <c r="J483" s="16"/>
      <c r="K483" s="17" t="str">
        <f aca="false">IF(A483="","",_xlfn.TEXTJOIN(",",TRUE(),G483:J483))</f>
        <v/>
      </c>
      <c r="L483" s="12"/>
    </row>
    <row r="484" customFormat="false" ht="16.5" hidden="false" customHeight="true" outlineLevel="0" collapsed="false">
      <c r="A484" s="11"/>
      <c r="B484" s="12"/>
      <c r="C484" s="13" t="str">
        <f aca="false">IF(A484="","",DATE(VALUE(LEFT(A484,4)),VALUE(MID(A484,5,2)),VALUE(MID(A484,7,2))))</f>
        <v/>
      </c>
      <c r="D484" s="12"/>
      <c r="E484" s="12"/>
      <c r="F484" s="12"/>
      <c r="G484" s="16"/>
      <c r="H484" s="16"/>
      <c r="I484" s="16"/>
      <c r="J484" s="16"/>
      <c r="K484" s="17" t="str">
        <f aca="false">IF(A484="","",_xlfn.TEXTJOIN(",",TRUE(),G484:J484))</f>
        <v/>
      </c>
      <c r="L484" s="12"/>
    </row>
    <row r="485" customFormat="false" ht="16.5" hidden="false" customHeight="true" outlineLevel="0" collapsed="false">
      <c r="A485" s="11"/>
      <c r="B485" s="12"/>
      <c r="C485" s="13" t="str">
        <f aca="false">IF(A485="","",DATE(VALUE(LEFT(A485,4)),VALUE(MID(A485,5,2)),VALUE(MID(A485,7,2))))</f>
        <v/>
      </c>
      <c r="D485" s="12"/>
      <c r="E485" s="12"/>
      <c r="F485" s="12"/>
      <c r="G485" s="16"/>
      <c r="H485" s="16"/>
      <c r="I485" s="16"/>
      <c r="J485" s="16"/>
      <c r="K485" s="17" t="str">
        <f aca="false">IF(A485="","",_xlfn.TEXTJOIN(",",TRUE(),G485:J485))</f>
        <v/>
      </c>
      <c r="L485" s="12"/>
    </row>
    <row r="486" customFormat="false" ht="16.5" hidden="false" customHeight="true" outlineLevel="0" collapsed="false">
      <c r="A486" s="11"/>
      <c r="B486" s="12"/>
      <c r="C486" s="13" t="str">
        <f aca="false">IF(A486="","",DATE(VALUE(LEFT(A486,4)),VALUE(MID(A486,5,2)),VALUE(MID(A486,7,2))))</f>
        <v/>
      </c>
      <c r="D486" s="12"/>
      <c r="E486" s="12"/>
      <c r="F486" s="12"/>
      <c r="G486" s="16"/>
      <c r="H486" s="16"/>
      <c r="I486" s="16"/>
      <c r="J486" s="16"/>
      <c r="K486" s="17" t="str">
        <f aca="false">IF(A486="","",_xlfn.TEXTJOIN(",",TRUE(),G486:J486))</f>
        <v/>
      </c>
      <c r="L486" s="12"/>
    </row>
    <row r="487" customFormat="false" ht="16.5" hidden="false" customHeight="true" outlineLevel="0" collapsed="false">
      <c r="A487" s="11"/>
      <c r="B487" s="12"/>
      <c r="C487" s="13" t="str">
        <f aca="false">IF(A487="","",DATE(VALUE(LEFT(A487,4)),VALUE(MID(A487,5,2)),VALUE(MID(A487,7,2))))</f>
        <v/>
      </c>
      <c r="D487" s="12"/>
      <c r="E487" s="12"/>
      <c r="F487" s="12"/>
      <c r="G487" s="16"/>
      <c r="H487" s="16"/>
      <c r="I487" s="16"/>
      <c r="J487" s="16"/>
      <c r="K487" s="17" t="str">
        <f aca="false">IF(A487="","",_xlfn.TEXTJOIN(",",TRUE(),G487:J487))</f>
        <v/>
      </c>
      <c r="L487" s="12"/>
    </row>
    <row r="488" customFormat="false" ht="16.5" hidden="false" customHeight="true" outlineLevel="0" collapsed="false">
      <c r="A488" s="11"/>
      <c r="B488" s="12"/>
      <c r="C488" s="13" t="str">
        <f aca="false">IF(A488="","",DATE(VALUE(LEFT(A488,4)),VALUE(MID(A488,5,2)),VALUE(MID(A488,7,2))))</f>
        <v/>
      </c>
      <c r="D488" s="12"/>
      <c r="E488" s="12"/>
      <c r="F488" s="12"/>
      <c r="G488" s="16"/>
      <c r="H488" s="16"/>
      <c r="I488" s="16"/>
      <c r="J488" s="16"/>
      <c r="K488" s="17" t="str">
        <f aca="false">IF(A488="","",_xlfn.TEXTJOIN(",",TRUE(),G488:J488))</f>
        <v/>
      </c>
      <c r="L488" s="12"/>
    </row>
    <row r="489" customFormat="false" ht="16.5" hidden="false" customHeight="true" outlineLevel="0" collapsed="false">
      <c r="A489" s="11"/>
      <c r="B489" s="12"/>
      <c r="C489" s="13" t="str">
        <f aca="false">IF(A489="","",DATE(VALUE(LEFT(A489,4)),VALUE(MID(A489,5,2)),VALUE(MID(A489,7,2))))</f>
        <v/>
      </c>
      <c r="D489" s="12"/>
      <c r="E489" s="12"/>
      <c r="F489" s="12"/>
      <c r="G489" s="16"/>
      <c r="H489" s="16"/>
      <c r="I489" s="16"/>
      <c r="J489" s="16"/>
      <c r="K489" s="17" t="str">
        <f aca="false">IF(A489="","",_xlfn.TEXTJOIN(",",TRUE(),G489:J489))</f>
        <v/>
      </c>
      <c r="L489" s="12"/>
    </row>
    <row r="490" customFormat="false" ht="16.5" hidden="false" customHeight="true" outlineLevel="0" collapsed="false">
      <c r="A490" s="11"/>
      <c r="B490" s="12"/>
      <c r="C490" s="13" t="str">
        <f aca="false">IF(A490="","",DATE(VALUE(LEFT(A490,4)),VALUE(MID(A490,5,2)),VALUE(MID(A490,7,2))))</f>
        <v/>
      </c>
      <c r="D490" s="12"/>
      <c r="E490" s="12"/>
      <c r="F490" s="12"/>
      <c r="G490" s="16"/>
      <c r="H490" s="16"/>
      <c r="I490" s="16"/>
      <c r="J490" s="16"/>
      <c r="K490" s="17" t="str">
        <f aca="false">IF(A490="","",_xlfn.TEXTJOIN(",",TRUE(),G490:J490))</f>
        <v/>
      </c>
      <c r="L490" s="12"/>
    </row>
    <row r="491" customFormat="false" ht="16.5" hidden="false" customHeight="true" outlineLevel="0" collapsed="false">
      <c r="A491" s="11"/>
      <c r="B491" s="12"/>
      <c r="C491" s="13" t="str">
        <f aca="false">IF(A491="","",DATE(VALUE(LEFT(A491,4)),VALUE(MID(A491,5,2)),VALUE(MID(A491,7,2))))</f>
        <v/>
      </c>
      <c r="D491" s="12"/>
      <c r="E491" s="12"/>
      <c r="F491" s="12"/>
      <c r="G491" s="16"/>
      <c r="H491" s="16"/>
      <c r="I491" s="16"/>
      <c r="J491" s="16"/>
      <c r="K491" s="17" t="str">
        <f aca="false">IF(A491="","",_xlfn.TEXTJOIN(",",TRUE(),G491:J491))</f>
        <v/>
      </c>
      <c r="L491" s="12"/>
    </row>
    <row r="492" customFormat="false" ht="16.5" hidden="false" customHeight="true" outlineLevel="0" collapsed="false">
      <c r="A492" s="11"/>
      <c r="B492" s="12"/>
      <c r="C492" s="13" t="str">
        <f aca="false">IF(A492="","",DATE(VALUE(LEFT(A492,4)),VALUE(MID(A492,5,2)),VALUE(MID(A492,7,2))))</f>
        <v/>
      </c>
      <c r="D492" s="12"/>
      <c r="E492" s="12"/>
      <c r="F492" s="12"/>
      <c r="G492" s="16"/>
      <c r="H492" s="16"/>
      <c r="I492" s="16"/>
      <c r="J492" s="16"/>
      <c r="K492" s="17" t="str">
        <f aca="false">IF(A492="","",_xlfn.TEXTJOIN(",",TRUE(),G492:J492))</f>
        <v/>
      </c>
      <c r="L492" s="12"/>
    </row>
    <row r="493" customFormat="false" ht="16.5" hidden="false" customHeight="true" outlineLevel="0" collapsed="false">
      <c r="A493" s="11"/>
      <c r="B493" s="12"/>
      <c r="C493" s="13" t="str">
        <f aca="false">IF(A493="","",DATE(VALUE(LEFT(A493,4)),VALUE(MID(A493,5,2)),VALUE(MID(A493,7,2))))</f>
        <v/>
      </c>
      <c r="D493" s="12"/>
      <c r="E493" s="12"/>
      <c r="F493" s="12"/>
      <c r="G493" s="16"/>
      <c r="H493" s="16"/>
      <c r="I493" s="16"/>
      <c r="J493" s="16"/>
      <c r="K493" s="17" t="str">
        <f aca="false">IF(A493="","",_xlfn.TEXTJOIN(",",TRUE(),G493:J493))</f>
        <v/>
      </c>
      <c r="L493" s="12"/>
    </row>
    <row r="494" customFormat="false" ht="16.5" hidden="false" customHeight="true" outlineLevel="0" collapsed="false">
      <c r="A494" s="11"/>
      <c r="B494" s="12"/>
      <c r="C494" s="13" t="str">
        <f aca="false">IF(A494="","",DATE(VALUE(LEFT(A494,4)),VALUE(MID(A494,5,2)),VALUE(MID(A494,7,2))))</f>
        <v/>
      </c>
      <c r="D494" s="12"/>
      <c r="E494" s="12"/>
      <c r="F494" s="12"/>
      <c r="G494" s="16"/>
      <c r="H494" s="16"/>
      <c r="I494" s="16"/>
      <c r="J494" s="16"/>
      <c r="K494" s="17" t="str">
        <f aca="false">IF(A494="","",_xlfn.TEXTJOIN(",",TRUE(),G494:J494))</f>
        <v/>
      </c>
      <c r="L494" s="12"/>
    </row>
    <row r="495" customFormat="false" ht="16.5" hidden="false" customHeight="true" outlineLevel="0" collapsed="false">
      <c r="A495" s="11"/>
      <c r="B495" s="12"/>
      <c r="C495" s="13" t="str">
        <f aca="false">IF(A495="","",DATE(VALUE(LEFT(A495,4)),VALUE(MID(A495,5,2)),VALUE(MID(A495,7,2))))</f>
        <v/>
      </c>
      <c r="D495" s="12"/>
      <c r="E495" s="12"/>
      <c r="F495" s="12"/>
      <c r="G495" s="16"/>
      <c r="H495" s="16"/>
      <c r="I495" s="16"/>
      <c r="J495" s="16"/>
      <c r="K495" s="17" t="str">
        <f aca="false">IF(A495="","",_xlfn.TEXTJOIN(",",TRUE(),G495:J495))</f>
        <v/>
      </c>
      <c r="L495" s="12"/>
    </row>
    <row r="496" customFormat="false" ht="16.5" hidden="false" customHeight="true" outlineLevel="0" collapsed="false">
      <c r="A496" s="11"/>
      <c r="B496" s="12"/>
      <c r="C496" s="13" t="str">
        <f aca="false">IF(A496="","",DATE(VALUE(LEFT(A496,4)),VALUE(MID(A496,5,2)),VALUE(MID(A496,7,2))))</f>
        <v/>
      </c>
      <c r="D496" s="12"/>
      <c r="E496" s="12"/>
      <c r="F496" s="12"/>
      <c r="G496" s="16"/>
      <c r="H496" s="16"/>
      <c r="I496" s="16"/>
      <c r="J496" s="16"/>
      <c r="K496" s="17" t="str">
        <f aca="false">IF(A496="","",_xlfn.TEXTJOIN(",",TRUE(),G496:J496))</f>
        <v/>
      </c>
      <c r="L496" s="12"/>
    </row>
    <row r="497" customFormat="false" ht="16.5" hidden="false" customHeight="true" outlineLevel="0" collapsed="false">
      <c r="A497" s="11"/>
      <c r="B497" s="12"/>
      <c r="C497" s="13" t="str">
        <f aca="false">IF(A497="","",DATE(VALUE(LEFT(A497,4)),VALUE(MID(A497,5,2)),VALUE(MID(A497,7,2))))</f>
        <v/>
      </c>
      <c r="D497" s="12"/>
      <c r="E497" s="12"/>
      <c r="F497" s="12"/>
      <c r="G497" s="16"/>
      <c r="H497" s="16"/>
      <c r="I497" s="16"/>
      <c r="J497" s="16"/>
      <c r="K497" s="17" t="str">
        <f aca="false">IF(A497="","",_xlfn.TEXTJOIN(",",TRUE(),G497:J497))</f>
        <v/>
      </c>
      <c r="L497" s="12"/>
    </row>
    <row r="498" customFormat="false" ht="16.5" hidden="false" customHeight="true" outlineLevel="0" collapsed="false">
      <c r="A498" s="11"/>
      <c r="B498" s="12"/>
      <c r="C498" s="13" t="str">
        <f aca="false">IF(A498="","",DATE(VALUE(LEFT(A498,4)),VALUE(MID(A498,5,2)),VALUE(MID(A498,7,2))))</f>
        <v/>
      </c>
      <c r="D498" s="12"/>
      <c r="E498" s="12"/>
      <c r="F498" s="12"/>
      <c r="G498" s="16"/>
      <c r="H498" s="16"/>
      <c r="I498" s="16"/>
      <c r="J498" s="16"/>
      <c r="K498" s="17" t="str">
        <f aca="false">IF(A498="","",_xlfn.TEXTJOIN(",",TRUE(),G498:J498))</f>
        <v/>
      </c>
      <c r="L498" s="12"/>
    </row>
    <row r="499" customFormat="false" ht="16.5" hidden="false" customHeight="true" outlineLevel="0" collapsed="false">
      <c r="A499" s="11"/>
      <c r="B499" s="12"/>
      <c r="C499" s="13" t="str">
        <f aca="false">IF(A499="","",DATE(VALUE(LEFT(A499,4)),VALUE(MID(A499,5,2)),VALUE(MID(A499,7,2))))</f>
        <v/>
      </c>
      <c r="D499" s="12"/>
      <c r="E499" s="12"/>
      <c r="F499" s="12"/>
      <c r="G499" s="16"/>
      <c r="H499" s="16"/>
      <c r="I499" s="16"/>
      <c r="J499" s="16"/>
      <c r="K499" s="17" t="str">
        <f aca="false">IF(A499="","",_xlfn.TEXTJOIN(",",TRUE(),G499:J499))</f>
        <v/>
      </c>
      <c r="L499" s="12"/>
    </row>
    <row r="500" customFormat="false" ht="16.5" hidden="false" customHeight="true" outlineLevel="0" collapsed="false">
      <c r="A500" s="11"/>
      <c r="B500" s="12"/>
      <c r="C500" s="13" t="str">
        <f aca="false">IF(A500="","",DATE(VALUE(LEFT(A500,4)),VALUE(MID(A500,5,2)),VALUE(MID(A500,7,2))))</f>
        <v/>
      </c>
      <c r="D500" s="12"/>
      <c r="E500" s="12"/>
      <c r="F500" s="12"/>
      <c r="G500" s="16"/>
      <c r="H500" s="16"/>
      <c r="I500" s="16"/>
      <c r="J500" s="16"/>
      <c r="K500" s="17" t="str">
        <f aca="false">IF(A500="","",_xlfn.TEXTJOIN(",",TRUE(),G500:J500))</f>
        <v/>
      </c>
      <c r="L500" s="12"/>
    </row>
    <row r="501" customFormat="false" ht="16.5" hidden="false" customHeight="true" outlineLevel="0" collapsed="false">
      <c r="A501" s="11"/>
      <c r="B501" s="12"/>
      <c r="C501" s="13" t="str">
        <f aca="false">IF(A501="","",DATE(VALUE(LEFT(A501,4)),VALUE(MID(A501,5,2)),VALUE(MID(A501,7,2))))</f>
        <v/>
      </c>
      <c r="D501" s="12"/>
      <c r="E501" s="12"/>
      <c r="F501" s="12"/>
      <c r="G501" s="16"/>
      <c r="H501" s="16"/>
      <c r="I501" s="16"/>
      <c r="J501" s="16"/>
      <c r="K501" s="17" t="str">
        <f aca="false">IF(A501="","",_xlfn.TEXTJOIN(",",TRUE(),G501:J501))</f>
        <v/>
      </c>
      <c r="L501" s="12"/>
    </row>
    <row r="502" customFormat="false" ht="16.5" hidden="false" customHeight="true" outlineLevel="0" collapsed="false">
      <c r="A502" s="11"/>
      <c r="B502" s="12"/>
      <c r="C502" s="13" t="str">
        <f aca="false">IF(A502="","",DATE(VALUE(LEFT(A502,4)),VALUE(MID(A502,5,2)),VALUE(MID(A502,7,2))))</f>
        <v/>
      </c>
      <c r="D502" s="12"/>
      <c r="E502" s="12"/>
      <c r="F502" s="12"/>
      <c r="G502" s="16"/>
      <c r="H502" s="16"/>
      <c r="I502" s="16"/>
      <c r="J502" s="16"/>
      <c r="K502" s="17" t="str">
        <f aca="false">IF(A502="","",_xlfn.TEXTJOIN(",",TRUE(),G502:J502))</f>
        <v/>
      </c>
      <c r="L502" s="12"/>
    </row>
  </sheetData>
  <autoFilter ref="A1:L502"/>
  <dataValidations count="1">
    <dataValidation allowBlank="true" error="タグ一覧シートにあるタグから選んでください" errorStyle="stop" errorTitle="タグ" operator="between" showDropDown="false" showErrorMessage="true" showInputMessage="false" sqref="G2:J501" type="list">
      <formula1>タグ一覧!$A$2:$A$21</formula1>
      <formula2>0</formula2>
    </dataValidation>
  </dataValidations>
  <hyperlinks>
    <hyperlink ref="D17" r:id="rId2" display="https://www.tokyo-crossdress.com/WBlog/2026090704-600.jp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0" activeCellId="0" sqref="L20"/>
    </sheetView>
  </sheetViews>
  <sheetFormatPr defaultColWidth="8.71484375" defaultRowHeight="15" zeroHeight="false" outlineLevelRow="0" outlineLevelCol="0"/>
  <cols>
    <col collapsed="false" customWidth="true" hidden="false" outlineLevel="0" max="2" min="1" style="1" width="40"/>
  </cols>
  <sheetData>
    <row r="1" customFormat="false" ht="17.25" hidden="false" customHeight="true" outlineLevel="0" collapsed="false">
      <c r="A1" s="20" t="s">
        <v>1150</v>
      </c>
      <c r="B1" s="20" t="s">
        <v>1151</v>
      </c>
    </row>
    <row r="2" customFormat="false" ht="17.25" hidden="false" customHeight="true" outlineLevel="0" collapsed="false">
      <c r="A2" s="21" t="s">
        <v>41</v>
      </c>
      <c r="B2" s="21" t="s">
        <v>1152</v>
      </c>
    </row>
    <row r="3" customFormat="false" ht="17.25" hidden="false" customHeight="true" outlineLevel="0" collapsed="false">
      <c r="A3" s="21" t="s">
        <v>46</v>
      </c>
      <c r="B3" s="21" t="s">
        <v>1153</v>
      </c>
    </row>
    <row r="4" customFormat="false" ht="15" hidden="false" customHeight="true" outlineLevel="0" collapsed="false">
      <c r="A4" s="21" t="s">
        <v>33</v>
      </c>
      <c r="B4" s="21"/>
    </row>
    <row r="5" customFormat="false" ht="15" hidden="false" customHeight="true" outlineLevel="0" collapsed="false">
      <c r="A5" s="21" t="s">
        <v>47</v>
      </c>
      <c r="B5" s="21"/>
    </row>
    <row r="6" customFormat="false" ht="15" hidden="false" customHeight="true" outlineLevel="0" collapsed="false">
      <c r="A6" s="21" t="s">
        <v>67</v>
      </c>
      <c r="B6" s="21"/>
    </row>
    <row r="7" customFormat="false" ht="15" hidden="false" customHeight="true" outlineLevel="0" collapsed="false">
      <c r="A7" s="21" t="s">
        <v>53</v>
      </c>
      <c r="B7" s="21"/>
    </row>
    <row r="8" customFormat="false" ht="15" hidden="false" customHeight="true" outlineLevel="0" collapsed="false">
      <c r="A8" s="21" t="s">
        <v>77</v>
      </c>
      <c r="B8" s="21"/>
    </row>
    <row r="9" customFormat="false" ht="15" hidden="false" customHeight="true" outlineLevel="0" collapsed="false">
      <c r="A9" s="21" t="s">
        <v>34</v>
      </c>
      <c r="B9" s="21"/>
    </row>
    <row r="10" customFormat="false" ht="15" hidden="false" customHeight="true" outlineLevel="0" collapsed="false">
      <c r="A10" s="21" t="s">
        <v>35</v>
      </c>
      <c r="B10" s="21"/>
    </row>
    <row r="11" customFormat="false" ht="15" hidden="false" customHeight="true" outlineLevel="0" collapsed="false">
      <c r="A11" s="21" t="s">
        <v>115</v>
      </c>
      <c r="B11" s="21"/>
    </row>
    <row r="12" customFormat="false" ht="15" hidden="false" customHeight="true" outlineLevel="0" collapsed="false">
      <c r="A12" s="21" t="s">
        <v>52</v>
      </c>
      <c r="B12" s="21"/>
    </row>
    <row r="13" customFormat="false" ht="15" hidden="false" customHeight="true" outlineLevel="0" collapsed="false">
      <c r="A13" s="21" t="s">
        <v>78</v>
      </c>
      <c r="B13" s="21"/>
    </row>
    <row r="14" customFormat="false" ht="15" hidden="false" customHeight="true" outlineLevel="0" collapsed="false">
      <c r="A14" s="21" t="s">
        <v>168</v>
      </c>
      <c r="B14" s="21"/>
    </row>
    <row r="15" customFormat="false" ht="15" hidden="false" customHeight="true" outlineLevel="0" collapsed="false">
      <c r="A15" s="21" t="s">
        <v>36</v>
      </c>
      <c r="B15" s="21"/>
    </row>
    <row r="16" customFormat="false" ht="15" hidden="false" customHeight="true" outlineLevel="0" collapsed="false">
      <c r="A16" s="21" t="s">
        <v>145</v>
      </c>
      <c r="B16" s="21"/>
    </row>
    <row r="17" customFormat="false" ht="15" hidden="false" customHeight="true" outlineLevel="0" collapsed="false">
      <c r="A17" s="21" t="s">
        <v>150</v>
      </c>
      <c r="B17" s="21"/>
    </row>
    <row r="18" customFormat="false" ht="15" hidden="false" customHeight="true" outlineLevel="0" collapsed="false">
      <c r="A18" s="21" t="s">
        <v>88</v>
      </c>
      <c r="B18" s="21"/>
    </row>
    <row r="19" customFormat="false" ht="15" hidden="false" customHeight="true" outlineLevel="0" collapsed="false">
      <c r="A19" s="21" t="s">
        <v>54</v>
      </c>
      <c r="B19" s="21"/>
    </row>
    <row r="20" customFormat="false" ht="15" hidden="false" customHeight="true" outlineLevel="0" collapsed="false">
      <c r="A20" s="21" t="s">
        <v>83</v>
      </c>
      <c r="B20" s="21"/>
    </row>
    <row r="21" customFormat="false" ht="15" hidden="false" customHeight="true" outlineLevel="0" collapsed="false">
      <c r="A21" s="21" t="s">
        <v>72</v>
      </c>
      <c r="B21" s="21"/>
    </row>
    <row r="23" customFormat="false" ht="17.25" hidden="false" customHeight="true" outlineLevel="0" collapsed="false">
      <c r="A23" s="22" t="s">
        <v>1154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2026-09-30T08:35:02Z</dcterms:created>
  <dc:creator>openpyxl</dc:creator>
  <dc:description/>
  <dc:language>en-US</dc:language>
  <cp:lastModifiedBy>ムーン サクラ</cp:lastModifiedBy>
  <dcterms:modified xsi:type="dcterms:W3CDTF">2026-10-01T07:28:50Z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